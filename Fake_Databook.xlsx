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/>
  <xr:revisionPtr revIDLastSave="1" documentId="11_B52E9AF1000867DC4526918D7F5DEF1CF24B209F" xr6:coauthVersionLast="47" xr6:coauthVersionMax="47" xr10:uidLastSave="{EBD72123-DFB4-4DCB-B98E-65C43F74BAB9}"/>
  <bookViews>
    <workbookView xWindow="0" yWindow="0" windowWidth="16384" windowHeight="8192" tabRatio="500" xr2:uid="{00000000-000D-0000-FFFF-FFFF00000000}"/>
  </bookViews>
  <sheets>
    <sheet name="DASH_FEED" sheetId="1" r:id="rId1"/>
    <sheet name="QofE" sheetId="2" r:id="rId2"/>
    <sheet name="Adj FS" sheetId="3" r:id="rId3"/>
    <sheet name="SG&amp;A" sheetId="4" r:id="rId4"/>
    <sheet name="Key Findings" sheetId="5" r:id="rId5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3" i="4" l="1"/>
  <c r="B12" i="4"/>
  <c r="B11" i="4"/>
  <c r="B10" i="4"/>
  <c r="B9" i="4"/>
  <c r="B8" i="4"/>
  <c r="B7" i="4"/>
  <c r="B6" i="4"/>
  <c r="B14" i="4" s="1"/>
  <c r="C7" i="3"/>
  <c r="B7" i="3"/>
  <c r="C6" i="3"/>
  <c r="C8" i="3" s="1"/>
  <c r="B6" i="3"/>
  <c r="B8" i="3" s="1"/>
  <c r="D14" i="2"/>
  <c r="C14" i="2"/>
  <c r="D13" i="2"/>
  <c r="C13" i="2"/>
  <c r="D12" i="2"/>
  <c r="C12" i="2"/>
  <c r="D11" i="2"/>
  <c r="C11" i="2"/>
  <c r="D10" i="2"/>
  <c r="C10" i="2"/>
  <c r="D9" i="2"/>
  <c r="C9" i="2"/>
  <c r="D7" i="2"/>
  <c r="C7" i="2"/>
  <c r="D6" i="2"/>
  <c r="C6" i="2"/>
  <c r="D32" i="1"/>
  <c r="C32" i="1"/>
  <c r="C8" i="2" l="1"/>
  <c r="C33" i="1"/>
  <c r="D8" i="2"/>
  <c r="D33" i="1"/>
  <c r="D15" i="2" l="1"/>
  <c r="B16" i="1"/>
  <c r="C15" i="2"/>
  <c r="B15" i="1"/>
  <c r="B9" i="3" l="1"/>
  <c r="B10" i="3" s="1"/>
  <c r="B17" i="1"/>
  <c r="C9" i="3"/>
  <c r="C10" i="3" s="1"/>
  <c r="B19" i="1"/>
  <c r="B18" i="1"/>
</calcChain>
</file>

<file path=xl/sharedStrings.xml><?xml version="1.0" encoding="utf-8"?>
<sst xmlns="http://schemas.openxmlformats.org/spreadsheetml/2006/main" count="132" uniqueCount="92">
  <si>
    <t>DASH_FEED — Dashboard data feed (edit blue cells only)</t>
  </si>
  <si>
    <t>[META]</t>
  </si>
  <si>
    <t>client_name</t>
  </si>
  <si>
    <t>Meadowbrook Animal Hospital</t>
  </si>
  <si>
    <t>period_py_label</t>
  </si>
  <si>
    <t>TTM Jun-25</t>
  </si>
  <si>
    <t>period_cy_label</t>
  </si>
  <si>
    <t>TTM Jun-26</t>
  </si>
  <si>
    <t>purchase_price</t>
  </si>
  <si>
    <t>location</t>
  </si>
  <si>
    <t>Franklin, Tennessee</t>
  </si>
  <si>
    <t>[KPIS]</t>
  </si>
  <si>
    <t>revenue_py</t>
  </si>
  <si>
    <t>revenue_cy</t>
  </si>
  <si>
    <t>cogs_py</t>
  </si>
  <si>
    <t>cogs_cy</t>
  </si>
  <si>
    <t>adj_ebitda_py</t>
  </si>
  <si>
    <t>adj_ebitda_cy</t>
  </si>
  <si>
    <t>adj_margin_py</t>
  </si>
  <si>
    <t>adj_margin_cy</t>
  </si>
  <si>
    <t>implied_multiple_cy</t>
  </si>
  <si>
    <t>[BRIDGE]</t>
  </si>
  <si>
    <t>line</t>
  </si>
  <si>
    <t>ref</t>
  </si>
  <si>
    <t>value_py</t>
  </si>
  <si>
    <t>value_cy</t>
  </si>
  <si>
    <t>Reported EBITDA</t>
  </si>
  <si>
    <t>Nonrecurring Expenses</t>
  </si>
  <si>
    <t>A</t>
  </si>
  <si>
    <t>DVM Compensation</t>
  </si>
  <si>
    <t>B</t>
  </si>
  <si>
    <t>Proforma Insurance</t>
  </si>
  <si>
    <t>C</t>
  </si>
  <si>
    <t>Rent Normalization</t>
  </si>
  <si>
    <t>D</t>
  </si>
  <si>
    <t>Family on Payroll</t>
  </si>
  <si>
    <t>E</t>
  </si>
  <si>
    <t>Non-recurring Legal</t>
  </si>
  <si>
    <t>F</t>
  </si>
  <si>
    <t>Loss on Disposal</t>
  </si>
  <si>
    <t>G</t>
  </si>
  <si>
    <t>Seller Adjusted EBITDA</t>
  </si>
  <si>
    <t>Diligence Adjusted EBITDA</t>
  </si>
  <si>
    <t>[MARGIN_SERIES]</t>
  </si>
  <si>
    <t>[SGA_MIX]</t>
  </si>
  <si>
    <t>month</t>
  </si>
  <si>
    <t>gross_margin_pct</t>
  </si>
  <si>
    <t>category</t>
  </si>
  <si>
    <t>adjusted_value_cy</t>
  </si>
  <si>
    <t>Jul</t>
  </si>
  <si>
    <t>Labor - DVM</t>
  </si>
  <si>
    <t>Aug</t>
  </si>
  <si>
    <t>Labor - Staff</t>
  </si>
  <si>
    <t>Sep</t>
  </si>
  <si>
    <t>Labor &amp; Fringe</t>
  </si>
  <si>
    <t>Oct</t>
  </si>
  <si>
    <t>Facility &amp; Equip</t>
  </si>
  <si>
    <t>Nov</t>
  </si>
  <si>
    <t>Admin</t>
  </si>
  <si>
    <t>Dec</t>
  </si>
  <si>
    <t>Fee/Collection</t>
  </si>
  <si>
    <t>Jan</t>
  </si>
  <si>
    <t>Marketing</t>
  </si>
  <si>
    <t>Feb</t>
  </si>
  <si>
    <t>D&amp;A</t>
  </si>
  <si>
    <t>Mar</t>
  </si>
  <si>
    <t>Apr</t>
  </si>
  <si>
    <t>May</t>
  </si>
  <si>
    <t>Jun</t>
  </si>
  <si>
    <t>[KEY_FINDINGS]</t>
  </si>
  <si>
    <t>• Dr. Alicia Monroe (owner) transitions to 21% of production post-close; comp normalized in Adjustment B.</t>
  </si>
  <si>
    <t>• Gross margin declined ~2.1% Jun-25 to Jun-26, driven by vendor price increases and higher relief-vet usage.</t>
  </si>
  <si>
    <t>• Buyer valuation revised: FY25 Adjusted EBITDA moved from $300K to $235K after a ~$85K revenue reclassification.</t>
  </si>
  <si>
    <t>• Cash proof analysis for the twelve months ended Jun-26 nets to a $0 variance.</t>
  </si>
  <si>
    <t>• Practice offers health and dental; go-forward buyer adds vision and a 2% 401(k) match.</t>
  </si>
  <si>
    <t>armanino</t>
  </si>
  <si>
    <t>Meadowbrook Animal Hospital — Quality of Earnings</t>
  </si>
  <si>
    <t>All figures illustrative / fictional</t>
  </si>
  <si>
    <t>Line</t>
  </si>
  <si>
    <t>Ref</t>
  </si>
  <si>
    <t>Adjusted Financial Statements</t>
  </si>
  <si>
    <t>Illustrative / fictional</t>
  </si>
  <si>
    <t>Metric</t>
  </si>
  <si>
    <t>Revenue</t>
  </si>
  <si>
    <t>Cost of Products</t>
  </si>
  <si>
    <t>Gross Profit</t>
  </si>
  <si>
    <t>Adj. EBITDA Margin</t>
  </si>
  <si>
    <t>SG&amp;A — Adjusted Operating Expense Mix (TTM Jun-26)</t>
  </si>
  <si>
    <t>Category</t>
  </si>
  <si>
    <t>Adjusted TTM Jun-26</t>
  </si>
  <si>
    <t>Total</t>
  </si>
  <si>
    <t>Key Findings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</si>
</sst>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;&quot;($&quot;#,##0\);\-"/>
    <numFmt numFmtId="165" formatCode="0.0%"/>
    <numFmt numFmtId="166" formatCode="0.0\x"/>
  </numFmts>
  <fonts count="8">
    <font>
      <sz val="11"/>
      <color theme="1"/>
      <name val="Calibri"/>
      <family val="2"/>
      <charset val="1"/>
    </font>
    <font>
      <b/>
      <sz val="12"/>
      <color rgb="FFFFFFFF"/>
      <name val="Arial"/>
      <charset val="1"/>
    </font>
    <font>
      <b/>
      <sz val="10"/>
      <color rgb="FF222222"/>
      <name val="Arial"/>
      <charset val="1"/>
    </font>
    <font>
      <sz val="10"/>
      <color rgb="FF0000FF"/>
      <name val="Arial"/>
      <charset val="1"/>
    </font>
    <font>
      <sz val="10"/>
      <color rgb="FF222222"/>
      <name val="Arial"/>
      <charset val="1"/>
    </font>
    <font>
      <b/>
      <sz val="14"/>
      <color rgb="FFFFFFFF"/>
      <name val="Arial"/>
      <charset val="1"/>
    </font>
    <font>
      <i/>
      <sz val="9"/>
      <color rgb="FF6B6B63"/>
      <name val="Arial"/>
      <charset val="1"/>
    </font>
    <font>
      <sz val="10"/>
      <color rgb="FF008000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222222"/>
        <bgColor rgb="FF333300"/>
      </patternFill>
    </fill>
    <fill>
      <patternFill patternType="solid">
        <fgColor rgb="FFF4A831"/>
        <bgColor rgb="FFFFCC00"/>
      </patternFill>
    </fill>
    <fill>
      <patternFill patternType="solid">
        <fgColor rgb="FFF7F7F4"/>
        <bgColor rgb="FFFFFFFF"/>
      </patternFill>
    </fill>
  </fills>
  <borders count="2">
    <border>
      <left/>
      <right/>
      <top/>
      <bottom/>
      <diagonal/>
    </border>
    <border>
      <left/>
      <right/>
      <top/>
      <bottom style="thin">
        <color rgb="FFE7E7E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4" fillId="0" borderId="0" xfId="0" applyFont="1" applyAlignment="1">
      <alignment vertical="top" wrapText="1"/>
    </xf>
    <xf numFmtId="0" fontId="2" fillId="0" borderId="0" xfId="0" applyFont="1"/>
    <xf numFmtId="0" fontId="3" fillId="0" borderId="0" xfId="0" applyFont="1"/>
    <xf numFmtId="164" fontId="3" fillId="0" borderId="0" xfId="0" applyNumberFormat="1" applyFont="1"/>
    <xf numFmtId="164" fontId="4" fillId="0" borderId="0" xfId="0" applyNumberFormat="1" applyFont="1"/>
    <xf numFmtId="165" fontId="4" fillId="0" borderId="0" xfId="0" applyNumberFormat="1" applyFont="1"/>
    <xf numFmtId="166" fontId="4" fillId="0" borderId="0" xfId="0" applyNumberFormat="1" applyFont="1"/>
    <xf numFmtId="0" fontId="2" fillId="0" borderId="1" xfId="0" applyFont="1" applyBorder="1"/>
    <xf numFmtId="0" fontId="4" fillId="0" borderId="0" xfId="0" applyFont="1"/>
    <xf numFmtId="0" fontId="4" fillId="0" borderId="0" xfId="0" applyFont="1" applyAlignment="1">
      <alignment horizontal="center"/>
    </xf>
    <xf numFmtId="164" fontId="2" fillId="0" borderId="1" xfId="0" applyNumberFormat="1" applyFont="1" applyBorder="1"/>
    <xf numFmtId="0" fontId="2" fillId="3" borderId="0" xfId="0" applyFont="1" applyFill="1"/>
    <xf numFmtId="164" fontId="2" fillId="3" borderId="0" xfId="0" applyNumberFormat="1" applyFont="1" applyFill="1"/>
    <xf numFmtId="165" fontId="3" fillId="0" borderId="0" xfId="0" applyNumberFormat="1" applyFont="1"/>
    <xf numFmtId="0" fontId="6" fillId="0" borderId="0" xfId="0" applyFont="1"/>
    <xf numFmtId="0" fontId="2" fillId="4" borderId="1" xfId="0" applyFont="1" applyFill="1" applyBorder="1"/>
    <xf numFmtId="164" fontId="7" fillId="0" borderId="0" xfId="0" applyNumberFormat="1" applyFont="1"/>
    <xf numFmtId="165" fontId="7" fillId="0" borderId="0" xfId="0" applyNumberFormat="1" applyFont="1"/>
    <xf numFmtId="0" fontId="1" fillId="2" borderId="0" xfId="0" applyFont="1" applyFill="1" applyAlignment="1"/>
    <xf numFmtId="0" fontId="4" fillId="0" borderId="0" xfId="0" applyFont="1" applyAlignment="1"/>
    <xf numFmtId="0" fontId="5" fillId="2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7F7F4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7E7E1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4A831"/>
      <rgbColor rgb="FFFF6600"/>
      <rgbColor rgb="FF6B6B63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2222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4A831"/>
  </sheetPr>
  <dimension ref="A1:E65"/>
  <sheetViews>
    <sheetView tabSelected="1" zoomScaleNormal="100" workbookViewId="0"/>
  </sheetViews>
  <sheetFormatPr defaultColWidth="8.7109375" defaultRowHeight="15"/>
  <cols>
    <col min="1" max="1" width="30" customWidth="1"/>
    <col min="2" max="5" width="20" customWidth="1"/>
  </cols>
  <sheetData>
    <row r="1" spans="1:4">
      <c r="A1" s="19" t="s">
        <v>0</v>
      </c>
      <c r="B1" s="19"/>
      <c r="C1" s="19"/>
      <c r="D1" s="19"/>
    </row>
    <row r="3" spans="1:4">
      <c r="A3" s="2" t="s">
        <v>1</v>
      </c>
    </row>
    <row r="4" spans="1:4">
      <c r="A4" s="2" t="s">
        <v>2</v>
      </c>
      <c r="B4" s="3" t="s">
        <v>3</v>
      </c>
    </row>
    <row r="5" spans="1:4">
      <c r="A5" s="2" t="s">
        <v>4</v>
      </c>
      <c r="B5" s="3" t="s">
        <v>5</v>
      </c>
    </row>
    <row r="6" spans="1:4">
      <c r="A6" s="2" t="s">
        <v>6</v>
      </c>
      <c r="B6" s="3" t="s">
        <v>7</v>
      </c>
    </row>
    <row r="7" spans="1:4">
      <c r="A7" s="2" t="s">
        <v>8</v>
      </c>
      <c r="B7" s="4">
        <v>3750000</v>
      </c>
    </row>
    <row r="8" spans="1:4">
      <c r="A8" s="2" t="s">
        <v>9</v>
      </c>
      <c r="B8" s="3" t="s">
        <v>10</v>
      </c>
    </row>
    <row r="10" spans="1:4">
      <c r="A10" s="2" t="s">
        <v>11</v>
      </c>
    </row>
    <row r="11" spans="1:4">
      <c r="A11" s="2" t="s">
        <v>12</v>
      </c>
      <c r="B11" s="4">
        <v>2410318</v>
      </c>
    </row>
    <row r="12" spans="1:4">
      <c r="A12" s="2" t="s">
        <v>13</v>
      </c>
      <c r="B12" s="4">
        <v>2504921</v>
      </c>
    </row>
    <row r="13" spans="1:4">
      <c r="A13" s="2" t="s">
        <v>14</v>
      </c>
      <c r="B13" s="4">
        <v>602580</v>
      </c>
    </row>
    <row r="14" spans="1:4">
      <c r="A14" s="2" t="s">
        <v>15</v>
      </c>
      <c r="B14" s="4">
        <v>651279</v>
      </c>
    </row>
    <row r="15" spans="1:4">
      <c r="A15" s="2" t="s">
        <v>16</v>
      </c>
      <c r="B15" s="5">
        <f>C33</f>
        <v>255490</v>
      </c>
    </row>
    <row r="16" spans="1:4">
      <c r="A16" s="2" t="s">
        <v>17</v>
      </c>
      <c r="B16" s="5">
        <f>D33</f>
        <v>249035</v>
      </c>
    </row>
    <row r="17" spans="1:4">
      <c r="A17" s="2" t="s">
        <v>18</v>
      </c>
      <c r="B17" s="6">
        <f>B15/B11</f>
        <v>0.10599846161377877</v>
      </c>
    </row>
    <row r="18" spans="1:4">
      <c r="A18" s="2" t="s">
        <v>19</v>
      </c>
      <c r="B18" s="6">
        <f>B16/B12</f>
        <v>9.9418305008421429E-2</v>
      </c>
    </row>
    <row r="19" spans="1:4">
      <c r="A19" s="2" t="s">
        <v>20</v>
      </c>
      <c r="B19" s="7">
        <f>B7/B16</f>
        <v>15.058124360029714</v>
      </c>
    </row>
    <row r="22" spans="1:4">
      <c r="A22" s="2" t="s">
        <v>21</v>
      </c>
    </row>
    <row r="23" spans="1:4">
      <c r="A23" s="8" t="s">
        <v>22</v>
      </c>
      <c r="B23" s="8" t="s">
        <v>23</v>
      </c>
      <c r="C23" s="8" t="s">
        <v>24</v>
      </c>
      <c r="D23" s="8" t="s">
        <v>25</v>
      </c>
    </row>
    <row r="24" spans="1:4">
      <c r="A24" s="9" t="s">
        <v>26</v>
      </c>
      <c r="B24" s="10"/>
      <c r="C24" s="4">
        <v>61240</v>
      </c>
      <c r="D24" s="4">
        <v>38115</v>
      </c>
    </row>
    <row r="25" spans="1:4">
      <c r="A25" s="9" t="s">
        <v>27</v>
      </c>
      <c r="B25" s="10" t="s">
        <v>28</v>
      </c>
      <c r="C25" s="4">
        <v>38900</v>
      </c>
      <c r="D25" s="4">
        <v>42350</v>
      </c>
    </row>
    <row r="26" spans="1:4">
      <c r="A26" s="9" t="s">
        <v>29</v>
      </c>
      <c r="B26" s="10" t="s">
        <v>30</v>
      </c>
      <c r="C26" s="4">
        <v>152300</v>
      </c>
      <c r="D26" s="4">
        <v>168420</v>
      </c>
    </row>
    <row r="27" spans="1:4">
      <c r="A27" s="9" t="s">
        <v>31</v>
      </c>
      <c r="B27" s="10" t="s">
        <v>32</v>
      </c>
      <c r="C27" s="4">
        <v>-4200</v>
      </c>
      <c r="D27" s="4">
        <v>-3850</v>
      </c>
    </row>
    <row r="28" spans="1:4">
      <c r="A28" s="9" t="s">
        <v>33</v>
      </c>
      <c r="B28" s="10" t="s">
        <v>34</v>
      </c>
      <c r="C28" s="4">
        <v>-18600</v>
      </c>
      <c r="D28" s="4">
        <v>-6200</v>
      </c>
    </row>
    <row r="29" spans="1:4">
      <c r="A29" s="9" t="s">
        <v>35</v>
      </c>
      <c r="B29" s="10" t="s">
        <v>36</v>
      </c>
      <c r="C29" s="4">
        <v>7450</v>
      </c>
      <c r="D29" s="4">
        <v>8100</v>
      </c>
    </row>
    <row r="30" spans="1:4">
      <c r="A30" s="9" t="s">
        <v>37</v>
      </c>
      <c r="B30" s="10" t="s">
        <v>38</v>
      </c>
      <c r="C30" s="4">
        <v>5600</v>
      </c>
      <c r="D30" s="4">
        <v>2100</v>
      </c>
    </row>
    <row r="31" spans="1:4">
      <c r="A31" s="9" t="s">
        <v>39</v>
      </c>
      <c r="B31" s="10" t="s">
        <v>40</v>
      </c>
      <c r="C31" s="4">
        <v>12800</v>
      </c>
      <c r="D31" s="4">
        <v>0</v>
      </c>
    </row>
    <row r="32" spans="1:4">
      <c r="A32" s="2" t="s">
        <v>41</v>
      </c>
      <c r="C32" s="11">
        <f>C24+C25</f>
        <v>100140</v>
      </c>
      <c r="D32" s="11">
        <f>D24+D25</f>
        <v>80465</v>
      </c>
    </row>
    <row r="33" spans="1:5">
      <c r="A33" s="12" t="s">
        <v>42</v>
      </c>
      <c r="C33" s="13">
        <f>C32+SUM(C26:C31)</f>
        <v>255490</v>
      </c>
      <c r="D33" s="13">
        <f>D32+SUM(D26:D31)</f>
        <v>249035</v>
      </c>
    </row>
    <row r="44" spans="1:5">
      <c r="A44" s="2" t="s">
        <v>43</v>
      </c>
      <c r="D44" s="2" t="s">
        <v>44</v>
      </c>
    </row>
    <row r="45" spans="1:5">
      <c r="A45" s="2" t="s">
        <v>45</v>
      </c>
      <c r="B45" s="2" t="s">
        <v>46</v>
      </c>
      <c r="D45" s="2" t="s">
        <v>47</v>
      </c>
      <c r="E45" s="2" t="s">
        <v>48</v>
      </c>
    </row>
    <row r="46" spans="1:5">
      <c r="A46" s="9" t="s">
        <v>49</v>
      </c>
      <c r="B46" s="14">
        <v>0.74199999999999999</v>
      </c>
      <c r="D46" s="9" t="s">
        <v>50</v>
      </c>
      <c r="E46" s="4">
        <v>538200</v>
      </c>
    </row>
    <row r="47" spans="1:5">
      <c r="A47" s="9" t="s">
        <v>51</v>
      </c>
      <c r="B47" s="14">
        <v>0.71799999999999997</v>
      </c>
      <c r="D47" s="9" t="s">
        <v>52</v>
      </c>
      <c r="E47" s="4">
        <v>592400</v>
      </c>
    </row>
    <row r="48" spans="1:5">
      <c r="A48" s="9" t="s">
        <v>53</v>
      </c>
      <c r="B48" s="14">
        <v>0.73499999999999999</v>
      </c>
      <c r="D48" s="9" t="s">
        <v>54</v>
      </c>
      <c r="E48" s="4">
        <v>174800</v>
      </c>
    </row>
    <row r="49" spans="1:5">
      <c r="A49" s="9" t="s">
        <v>55</v>
      </c>
      <c r="B49" s="14">
        <v>0.70899999999999996</v>
      </c>
      <c r="D49" s="9" t="s">
        <v>56</v>
      </c>
      <c r="E49" s="4">
        <v>138900</v>
      </c>
    </row>
    <row r="50" spans="1:5">
      <c r="A50" s="9" t="s">
        <v>57</v>
      </c>
      <c r="B50" s="14">
        <v>0.751</v>
      </c>
      <c r="D50" s="9" t="s">
        <v>58</v>
      </c>
      <c r="E50" s="4">
        <v>84600</v>
      </c>
    </row>
    <row r="51" spans="1:5">
      <c r="A51" s="9" t="s">
        <v>59</v>
      </c>
      <c r="B51" s="14">
        <v>0.68799999999999994</v>
      </c>
      <c r="D51" s="9" t="s">
        <v>60</v>
      </c>
      <c r="E51" s="4">
        <v>58200</v>
      </c>
    </row>
    <row r="52" spans="1:5">
      <c r="A52" s="9" t="s">
        <v>61</v>
      </c>
      <c r="B52" s="14">
        <v>0.72599999999999998</v>
      </c>
      <c r="D52" s="9" t="s">
        <v>62</v>
      </c>
      <c r="E52" s="4">
        <v>21400</v>
      </c>
    </row>
    <row r="53" spans="1:5">
      <c r="A53" s="9" t="s">
        <v>63</v>
      </c>
      <c r="B53" s="14">
        <v>0.74399999999999999</v>
      </c>
      <c r="D53" s="9" t="s">
        <v>64</v>
      </c>
      <c r="E53" s="4">
        <v>63100</v>
      </c>
    </row>
    <row r="54" spans="1:5">
      <c r="A54" s="9" t="s">
        <v>65</v>
      </c>
      <c r="B54" s="14">
        <v>0.70099999999999996</v>
      </c>
    </row>
    <row r="55" spans="1:5">
      <c r="A55" s="9" t="s">
        <v>66</v>
      </c>
      <c r="B55" s="14">
        <v>0.73299999999999998</v>
      </c>
    </row>
    <row r="56" spans="1:5">
      <c r="A56" s="9" t="s">
        <v>67</v>
      </c>
      <c r="B56" s="14">
        <v>0.71699999999999997</v>
      </c>
    </row>
    <row r="57" spans="1:5">
      <c r="A57" s="9" t="s">
        <v>68</v>
      </c>
      <c r="B57" s="14">
        <v>0.74</v>
      </c>
    </row>
    <row r="60" spans="1:5">
      <c r="A60" s="2" t="s">
        <v>69</v>
      </c>
    </row>
    <row r="61" spans="1:5">
      <c r="A61" s="20" t="s">
        <v>70</v>
      </c>
      <c r="B61" s="20"/>
      <c r="C61" s="20"/>
      <c r="D61" s="20"/>
      <c r="E61" s="20"/>
    </row>
    <row r="62" spans="1:5">
      <c r="A62" s="20" t="s">
        <v>71</v>
      </c>
      <c r="B62" s="20"/>
      <c r="C62" s="20"/>
      <c r="D62" s="20"/>
      <c r="E62" s="20"/>
    </row>
    <row r="63" spans="1:5">
      <c r="A63" s="20" t="s">
        <v>72</v>
      </c>
      <c r="B63" s="20"/>
      <c r="C63" s="20"/>
      <c r="D63" s="20"/>
      <c r="E63" s="20"/>
    </row>
    <row r="64" spans="1:5">
      <c r="A64" s="20" t="s">
        <v>73</v>
      </c>
      <c r="B64" s="20"/>
      <c r="C64" s="20"/>
      <c r="D64" s="20"/>
      <c r="E64" s="20"/>
    </row>
    <row r="65" spans="1:5">
      <c r="A65" s="20" t="s">
        <v>74</v>
      </c>
      <c r="B65" s="20"/>
      <c r="C65" s="20"/>
      <c r="D65" s="20"/>
      <c r="E65" s="20"/>
    </row>
  </sheetData>
  <mergeCells count="6">
    <mergeCell ref="A65:E65"/>
    <mergeCell ref="A1:D1"/>
    <mergeCell ref="A61:E61"/>
    <mergeCell ref="A62:E62"/>
    <mergeCell ref="A63:E63"/>
    <mergeCell ref="A64:E64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5"/>
  <sheetViews>
    <sheetView zoomScaleNormal="100" workbookViewId="0"/>
  </sheetViews>
  <sheetFormatPr defaultColWidth="8.7109375" defaultRowHeight="15"/>
  <cols>
    <col min="1" max="1" width="30" customWidth="1"/>
    <col min="2" max="4" width="16" customWidth="1"/>
  </cols>
  <sheetData>
    <row r="1" spans="1:5" ht="17.45">
      <c r="A1" s="21" t="s">
        <v>75</v>
      </c>
      <c r="B1" s="21"/>
      <c r="C1" s="21"/>
      <c r="D1" s="21"/>
      <c r="E1" s="21"/>
    </row>
    <row r="2" spans="1:5">
      <c r="A2" s="2" t="s">
        <v>76</v>
      </c>
    </row>
    <row r="3" spans="1:5">
      <c r="A3" s="15" t="s">
        <v>77</v>
      </c>
    </row>
    <row r="5" spans="1:5">
      <c r="A5" s="16" t="s">
        <v>78</v>
      </c>
      <c r="B5" s="16" t="s">
        <v>79</v>
      </c>
      <c r="C5" s="16" t="s">
        <v>5</v>
      </c>
      <c r="D5" s="16" t="s">
        <v>7</v>
      </c>
    </row>
    <row r="6" spans="1:5">
      <c r="A6" s="9" t="s">
        <v>26</v>
      </c>
      <c r="B6" s="9"/>
      <c r="C6" s="17">
        <f>DASH_FEED!C24</f>
        <v>61240</v>
      </c>
      <c r="D6" s="17">
        <f>DASH_FEED!D24</f>
        <v>38115</v>
      </c>
    </row>
    <row r="7" spans="1:5">
      <c r="A7" s="9" t="s">
        <v>27</v>
      </c>
      <c r="B7" s="9" t="s">
        <v>28</v>
      </c>
      <c r="C7" s="17">
        <f>DASH_FEED!C25</f>
        <v>38900</v>
      </c>
      <c r="D7" s="17">
        <f>DASH_FEED!D25</f>
        <v>42350</v>
      </c>
    </row>
    <row r="8" spans="1:5">
      <c r="A8" s="8" t="s">
        <v>41</v>
      </c>
      <c r="B8" s="9"/>
      <c r="C8" s="11">
        <f>DASH_FEED!C32</f>
        <v>100140</v>
      </c>
      <c r="D8" s="11">
        <f>DASH_FEED!D32</f>
        <v>80465</v>
      </c>
    </row>
    <row r="9" spans="1:5">
      <c r="A9" s="9" t="s">
        <v>29</v>
      </c>
      <c r="B9" s="9" t="s">
        <v>30</v>
      </c>
      <c r="C9" s="17">
        <f>DASH_FEED!C26</f>
        <v>152300</v>
      </c>
      <c r="D9" s="17">
        <f>DASH_FEED!D26</f>
        <v>168420</v>
      </c>
    </row>
    <row r="10" spans="1:5">
      <c r="A10" s="9" t="s">
        <v>31</v>
      </c>
      <c r="B10" s="9" t="s">
        <v>32</v>
      </c>
      <c r="C10" s="17">
        <f>DASH_FEED!C27</f>
        <v>-4200</v>
      </c>
      <c r="D10" s="17">
        <f>DASH_FEED!D27</f>
        <v>-3850</v>
      </c>
    </row>
    <row r="11" spans="1:5">
      <c r="A11" s="9" t="s">
        <v>33</v>
      </c>
      <c r="B11" s="9" t="s">
        <v>34</v>
      </c>
      <c r="C11" s="17">
        <f>DASH_FEED!C28</f>
        <v>-18600</v>
      </c>
      <c r="D11" s="17">
        <f>DASH_FEED!D28</f>
        <v>-6200</v>
      </c>
    </row>
    <row r="12" spans="1:5">
      <c r="A12" s="9" t="s">
        <v>35</v>
      </c>
      <c r="B12" s="9" t="s">
        <v>36</v>
      </c>
      <c r="C12" s="17">
        <f>DASH_FEED!C29</f>
        <v>7450</v>
      </c>
      <c r="D12" s="17">
        <f>DASH_FEED!D29</f>
        <v>8100</v>
      </c>
    </row>
    <row r="13" spans="1:5">
      <c r="A13" s="9" t="s">
        <v>37</v>
      </c>
      <c r="B13" s="9" t="s">
        <v>38</v>
      </c>
      <c r="C13" s="17">
        <f>DASH_FEED!C30</f>
        <v>5600</v>
      </c>
      <c r="D13" s="17">
        <f>DASH_FEED!D30</f>
        <v>2100</v>
      </c>
    </row>
    <row r="14" spans="1:5">
      <c r="A14" s="9" t="s">
        <v>39</v>
      </c>
      <c r="B14" s="9" t="s">
        <v>40</v>
      </c>
      <c r="C14" s="17">
        <f>DASH_FEED!C31</f>
        <v>12800</v>
      </c>
      <c r="D14" s="17">
        <f>DASH_FEED!D31</f>
        <v>0</v>
      </c>
    </row>
    <row r="15" spans="1:5">
      <c r="A15" s="8" t="s">
        <v>42</v>
      </c>
      <c r="B15" s="9"/>
      <c r="C15" s="11">
        <f>DASH_FEED!C33</f>
        <v>255490</v>
      </c>
      <c r="D15" s="11">
        <f>DASH_FEED!D33</f>
        <v>249035</v>
      </c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"/>
  <sheetViews>
    <sheetView zoomScaleNormal="100" workbookViewId="0"/>
  </sheetViews>
  <sheetFormatPr defaultColWidth="8.7109375" defaultRowHeight="15"/>
  <cols>
    <col min="1" max="1" width="28" customWidth="1"/>
    <col min="2" max="3" width="16" customWidth="1"/>
  </cols>
  <sheetData>
    <row r="1" spans="1:5" ht="17.45">
      <c r="A1" s="21" t="s">
        <v>75</v>
      </c>
      <c r="B1" s="21"/>
      <c r="C1" s="21"/>
      <c r="D1" s="21"/>
      <c r="E1" s="21"/>
    </row>
    <row r="2" spans="1:5">
      <c r="A2" s="2" t="s">
        <v>80</v>
      </c>
    </row>
    <row r="3" spans="1:5">
      <c r="A3" s="15" t="s">
        <v>81</v>
      </c>
    </row>
    <row r="5" spans="1:5">
      <c r="A5" s="8" t="s">
        <v>82</v>
      </c>
      <c r="B5" s="8" t="s">
        <v>5</v>
      </c>
      <c r="C5" s="8" t="s">
        <v>7</v>
      </c>
    </row>
    <row r="6" spans="1:5">
      <c r="A6" s="9" t="s">
        <v>83</v>
      </c>
      <c r="B6" s="17">
        <f>DASH_FEED!B11</f>
        <v>2410318</v>
      </c>
      <c r="C6" s="17">
        <f>DASH_FEED!B12</f>
        <v>2504921</v>
      </c>
    </row>
    <row r="7" spans="1:5">
      <c r="A7" s="9" t="s">
        <v>84</v>
      </c>
      <c r="B7" s="17">
        <f>DASH_FEED!B13</f>
        <v>602580</v>
      </c>
      <c r="C7" s="17">
        <f>DASH_FEED!B14</f>
        <v>651279</v>
      </c>
    </row>
    <row r="8" spans="1:5">
      <c r="A8" s="9" t="s">
        <v>85</v>
      </c>
      <c r="B8" s="17">
        <f>B6-B7</f>
        <v>1807738</v>
      </c>
      <c r="C8" s="17">
        <f>C6-C7</f>
        <v>1853642</v>
      </c>
    </row>
    <row r="9" spans="1:5">
      <c r="A9" s="9" t="s">
        <v>42</v>
      </c>
      <c r="B9" s="17">
        <f>DASH_FEED!B15</f>
        <v>255490</v>
      </c>
      <c r="C9" s="17">
        <f>DASH_FEED!B16</f>
        <v>249035</v>
      </c>
    </row>
    <row r="10" spans="1:5">
      <c r="A10" s="9" t="s">
        <v>86</v>
      </c>
      <c r="B10" s="18">
        <f>B9/B6</f>
        <v>0.10599846161377877</v>
      </c>
      <c r="C10" s="18">
        <f>C9/C6</f>
        <v>9.9418305008421429E-2</v>
      </c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4"/>
  <sheetViews>
    <sheetView zoomScaleNormal="100" workbookViewId="0"/>
  </sheetViews>
  <sheetFormatPr defaultColWidth="8.7109375" defaultRowHeight="15"/>
  <cols>
    <col min="1" max="1" width="22" customWidth="1"/>
    <col min="2" max="2" width="20" customWidth="1"/>
  </cols>
  <sheetData>
    <row r="1" spans="1:5" ht="17.45">
      <c r="A1" s="21" t="s">
        <v>75</v>
      </c>
      <c r="B1" s="21"/>
      <c r="C1" s="21"/>
      <c r="D1" s="21"/>
      <c r="E1" s="21"/>
    </row>
    <row r="2" spans="1:5">
      <c r="A2" s="2" t="s">
        <v>87</v>
      </c>
    </row>
    <row r="3" spans="1:5">
      <c r="A3" s="15" t="s">
        <v>81</v>
      </c>
    </row>
    <row r="5" spans="1:5">
      <c r="A5" s="8" t="s">
        <v>88</v>
      </c>
      <c r="B5" s="8" t="s">
        <v>89</v>
      </c>
    </row>
    <row r="6" spans="1:5">
      <c r="A6" s="9" t="s">
        <v>50</v>
      </c>
      <c r="B6" s="17">
        <f>DASH_FEED!E46</f>
        <v>538200</v>
      </c>
    </row>
    <row r="7" spans="1:5">
      <c r="A7" s="9" t="s">
        <v>52</v>
      </c>
      <c r="B7" s="17">
        <f>DASH_FEED!E47</f>
        <v>592400</v>
      </c>
    </row>
    <row r="8" spans="1:5">
      <c r="A8" s="9" t="s">
        <v>54</v>
      </c>
      <c r="B8" s="17">
        <f>DASH_FEED!E48</f>
        <v>174800</v>
      </c>
    </row>
    <row r="9" spans="1:5">
      <c r="A9" s="9" t="s">
        <v>56</v>
      </c>
      <c r="B9" s="17">
        <f>DASH_FEED!E49</f>
        <v>138900</v>
      </c>
    </row>
    <row r="10" spans="1:5">
      <c r="A10" s="9" t="s">
        <v>58</v>
      </c>
      <c r="B10" s="17">
        <f>DASH_FEED!E50</f>
        <v>84600</v>
      </c>
    </row>
    <row r="11" spans="1:5">
      <c r="A11" s="9" t="s">
        <v>60</v>
      </c>
      <c r="B11" s="17">
        <f>DASH_FEED!E51</f>
        <v>58200</v>
      </c>
    </row>
    <row r="12" spans="1:5">
      <c r="A12" s="9" t="s">
        <v>62</v>
      </c>
      <c r="B12" s="17">
        <f>DASH_FEED!E52</f>
        <v>21400</v>
      </c>
    </row>
    <row r="13" spans="1:5">
      <c r="A13" s="9" t="s">
        <v>64</v>
      </c>
      <c r="B13" s="17">
        <f>DASH_FEED!E53</f>
        <v>63100</v>
      </c>
    </row>
    <row r="14" spans="1:5">
      <c r="A14" s="2" t="s">
        <v>90</v>
      </c>
      <c r="B14" s="11">
        <f>SUM(B6:B13)</f>
        <v>1671600</v>
      </c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9"/>
  <sheetViews>
    <sheetView zoomScaleNormal="100" workbookViewId="0"/>
  </sheetViews>
  <sheetFormatPr defaultColWidth="8.7109375" defaultRowHeight="15"/>
  <cols>
    <col min="1" max="6" width="20" customWidth="1"/>
  </cols>
  <sheetData>
    <row r="1" spans="1:6" ht="17.45">
      <c r="A1" s="21" t="s">
        <v>75</v>
      </c>
      <c r="B1" s="21"/>
      <c r="C1" s="21"/>
      <c r="D1" s="21"/>
      <c r="E1" s="21"/>
    </row>
    <row r="2" spans="1:6">
      <c r="A2" s="2" t="s">
        <v>91</v>
      </c>
    </row>
    <row r="3" spans="1:6">
      <c r="A3" s="15" t="s">
        <v>81</v>
      </c>
    </row>
    <row r="5" spans="1:6" ht="30" customHeight="1">
      <c r="A5" s="1" t="s">
        <v>70</v>
      </c>
      <c r="B5" s="1"/>
      <c r="C5" s="1"/>
      <c r="D5" s="1"/>
      <c r="E5" s="1"/>
      <c r="F5" s="1"/>
    </row>
    <row r="6" spans="1:6" ht="30" customHeight="1">
      <c r="A6" s="1" t="s">
        <v>71</v>
      </c>
      <c r="B6" s="1"/>
      <c r="C6" s="1"/>
      <c r="D6" s="1"/>
      <c r="E6" s="1"/>
      <c r="F6" s="1"/>
    </row>
    <row r="7" spans="1:6" ht="30" customHeight="1">
      <c r="A7" s="1" t="s">
        <v>72</v>
      </c>
      <c r="B7" s="1"/>
      <c r="C7" s="1"/>
      <c r="D7" s="1"/>
      <c r="E7" s="1"/>
      <c r="F7" s="1"/>
    </row>
    <row r="8" spans="1:6" ht="30" customHeight="1">
      <c r="A8" s="1" t="s">
        <v>73</v>
      </c>
      <c r="B8" s="1"/>
      <c r="C8" s="1"/>
      <c r="D8" s="1"/>
      <c r="E8" s="1"/>
      <c r="F8" s="1"/>
    </row>
    <row r="9" spans="1:6" ht="30" customHeight="1">
      <c r="A9" s="1" t="s">
        <v>74</v>
      </c>
      <c r="B9" s="1"/>
      <c r="C9" s="1"/>
      <c r="D9" s="1"/>
      <c r="E9" s="1"/>
      <c r="F9" s="1"/>
    </row>
  </sheetData>
  <mergeCells count="6">
    <mergeCell ref="A9:F9"/>
    <mergeCell ref="A1:E1"/>
    <mergeCell ref="A5:F5"/>
    <mergeCell ref="A6:F6"/>
    <mergeCell ref="A7:F7"/>
    <mergeCell ref="A8:F8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Mason Twist</dc:creator>
  <cp:keywords/>
  <dc:description/>
  <cp:lastModifiedBy>Mason Twist</cp:lastModifiedBy>
  <cp:revision>0</cp:revision>
  <dcterms:created xsi:type="dcterms:W3CDTF">2026-07-23T15:45:37Z</dcterms:created>
  <dcterms:modified xsi:type="dcterms:W3CDTF">2026-07-23T15:50:26Z</dcterms:modified>
  <cp:category/>
  <cp:contentStatus/>
</cp:coreProperties>
</file>