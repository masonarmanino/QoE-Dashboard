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17"/>
  <workbookPr/>
  <xr:revisionPtr revIDLastSave="0" documentId="8_{B11FD535-369A-4BE6-9729-B0C264682A42}" xr6:coauthVersionLast="47" xr6:coauthVersionMax="47" xr10:uidLastSave="{00000000-0000-0000-0000-000000000000}"/>
  <bookViews>
    <workbookView xWindow="0" yWindow="0" windowWidth="16384" windowHeight="8192" tabRatio="500" xr2:uid="{00000000-000D-0000-FFFF-FFFF00000000}"/>
  </bookViews>
  <sheets>
    <sheet name="DASH_FEED" sheetId="1" r:id="rId1"/>
    <sheet name="Monthly IS" sheetId="2" r:id="rId2"/>
    <sheet name="Cover" sheetId="3" r:id="rId3"/>
    <sheet name="Report" sheetId="4" r:id="rId4"/>
    <sheet name="Executive Summary" sheetId="5" r:id="rId5"/>
    <sheet name="Key Findings" sheetId="6" r:id="rId6"/>
    <sheet name="EBITDA Analysis" sheetId="7" r:id="rId7"/>
    <sheet name="QofE" sheetId="8" r:id="rId8"/>
    <sheet name="Adj FS" sheetId="9" r:id="rId9"/>
    <sheet name="SG&amp;A Analysis" sheetId="10" r:id="rId10"/>
    <sheet name="Payroll Analysis" sheetId="11" r:id="rId11"/>
    <sheet name="Mthly Rev and Margin Trends" sheetId="12" r:id="rId12"/>
    <sheet name="Rent Schedule" sheetId="13" r:id="rId13"/>
    <sheet name="Proof of Cash" sheetId="14" r:id="rId14"/>
    <sheet name="Payroll Rec" sheetId="15" r:id="rId15"/>
    <sheet name="Tax Rec" sheetId="16" r:id="rId16"/>
    <sheet name="Revenue Series" sheetId="17" r:id="rId17"/>
    <sheet name="Reconciliations" sheetId="18" r:id="rId18"/>
    <sheet name="Common Size Analysis" sheetId="19" r:id="rId19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17" i="12" l="1"/>
  <c r="C16" i="12"/>
  <c r="C15" i="12"/>
  <c r="C14" i="12"/>
  <c r="C13" i="12"/>
  <c r="C12" i="12"/>
  <c r="C11" i="12"/>
  <c r="C10" i="12"/>
  <c r="C9" i="12"/>
  <c r="C8" i="12"/>
  <c r="C7" i="12"/>
  <c r="C6" i="12"/>
  <c r="C12" i="11"/>
  <c r="C13" i="10"/>
  <c r="E13" i="7"/>
  <c r="C13" i="7"/>
  <c r="E12" i="7"/>
  <c r="C12" i="7"/>
  <c r="E11" i="7"/>
  <c r="C11" i="7"/>
  <c r="E10" i="7"/>
  <c r="C10" i="7"/>
  <c r="E9" i="7"/>
  <c r="C9" i="7"/>
  <c r="E8" i="7"/>
  <c r="C8" i="7"/>
  <c r="E7" i="7"/>
  <c r="C7" i="7"/>
  <c r="A9" i="6"/>
  <c r="A8" i="6"/>
  <c r="A7" i="6"/>
  <c r="A6" i="6"/>
  <c r="A5" i="6"/>
  <c r="C9" i="5"/>
  <c r="B9" i="5"/>
  <c r="C5" i="5"/>
  <c r="B5" i="5"/>
  <c r="A5" i="4"/>
  <c r="A11" i="3"/>
  <c r="A8" i="3"/>
  <c r="A7" i="3"/>
  <c r="AA29" i="2"/>
  <c r="Z29" i="2"/>
  <c r="AA28" i="2"/>
  <c r="Z28" i="2"/>
  <c r="AA27" i="2"/>
  <c r="Z27" i="2"/>
  <c r="Y25" i="2"/>
  <c r="X25" i="2"/>
  <c r="W25" i="2"/>
  <c r="V25" i="2"/>
  <c r="U25" i="2"/>
  <c r="T25" i="2"/>
  <c r="S25" i="2"/>
  <c r="R25" i="2"/>
  <c r="Q25" i="2"/>
  <c r="P25" i="2"/>
  <c r="O25" i="2"/>
  <c r="N25" i="2"/>
  <c r="AA25" i="2" s="1"/>
  <c r="C16" i="8" s="1"/>
  <c r="M25" i="2"/>
  <c r="L25" i="2"/>
  <c r="K25" i="2"/>
  <c r="J25" i="2"/>
  <c r="I25" i="2"/>
  <c r="H25" i="2"/>
  <c r="G25" i="2"/>
  <c r="F25" i="2"/>
  <c r="E25" i="2"/>
  <c r="D25" i="2"/>
  <c r="C25" i="2"/>
  <c r="B25" i="2"/>
  <c r="Z25" i="2" s="1"/>
  <c r="B16" i="8" s="1"/>
  <c r="AA24" i="2"/>
  <c r="Z24" i="2"/>
  <c r="B15" i="8" s="1"/>
  <c r="AA23" i="2"/>
  <c r="Z23" i="2"/>
  <c r="B14" i="8" s="1"/>
  <c r="AA22" i="2"/>
  <c r="Z22" i="2"/>
  <c r="B13" i="8" s="1"/>
  <c r="AA21" i="2"/>
  <c r="Z21" i="2"/>
  <c r="B12" i="8" s="1"/>
  <c r="AA20" i="2"/>
  <c r="Z20" i="2"/>
  <c r="B11" i="8" s="1"/>
  <c r="AA19" i="2"/>
  <c r="Z19" i="2"/>
  <c r="AA18" i="2"/>
  <c r="Z18" i="2"/>
  <c r="Y15" i="2"/>
  <c r="X15" i="2"/>
  <c r="W15" i="2"/>
  <c r="V15" i="2"/>
  <c r="U15" i="2"/>
  <c r="T15" i="2"/>
  <c r="S15" i="2"/>
  <c r="R15" i="2"/>
  <c r="Q15" i="2"/>
  <c r="P15" i="2"/>
  <c r="O15" i="2"/>
  <c r="N15" i="2"/>
  <c r="AA15" i="2" s="1"/>
  <c r="C7" i="8" s="1"/>
  <c r="M15" i="2"/>
  <c r="L15" i="2"/>
  <c r="K15" i="2"/>
  <c r="J15" i="2"/>
  <c r="I15" i="2"/>
  <c r="H15" i="2"/>
  <c r="G15" i="2"/>
  <c r="F15" i="2"/>
  <c r="E15" i="2"/>
  <c r="D15" i="2"/>
  <c r="C15" i="2"/>
  <c r="B15" i="2"/>
  <c r="Z15" i="2" s="1"/>
  <c r="B7" i="8" s="1"/>
  <c r="AA14" i="2"/>
  <c r="Z14" i="2"/>
  <c r="AA13" i="2"/>
  <c r="Z13" i="2"/>
  <c r="AA12" i="2"/>
  <c r="Z12" i="2"/>
  <c r="AA11" i="2"/>
  <c r="Z11" i="2"/>
  <c r="Y9" i="2"/>
  <c r="X9" i="2"/>
  <c r="W9" i="2"/>
  <c r="V9" i="2"/>
  <c r="U9" i="2"/>
  <c r="T9" i="2"/>
  <c r="S9" i="2"/>
  <c r="R9" i="2"/>
  <c r="Q9" i="2"/>
  <c r="P9" i="2"/>
  <c r="O9" i="2"/>
  <c r="N9" i="2"/>
  <c r="M9" i="2"/>
  <c r="M16" i="2" s="1"/>
  <c r="L9" i="2"/>
  <c r="L16" i="2" s="1"/>
  <c r="K9" i="2"/>
  <c r="K16" i="2" s="1"/>
  <c r="J9" i="2"/>
  <c r="J16" i="2" s="1"/>
  <c r="I9" i="2"/>
  <c r="I16" i="2" s="1"/>
  <c r="H9" i="2"/>
  <c r="H16" i="2" s="1"/>
  <c r="G9" i="2"/>
  <c r="G16" i="2" s="1"/>
  <c r="F9" i="2"/>
  <c r="F16" i="2" s="1"/>
  <c r="E9" i="2"/>
  <c r="E16" i="2" s="1"/>
  <c r="D9" i="2"/>
  <c r="D16" i="2" s="1"/>
  <c r="C9" i="2"/>
  <c r="C16" i="2" s="1"/>
  <c r="B9" i="2"/>
  <c r="AA8" i="2"/>
  <c r="Z8" i="2"/>
  <c r="AA7" i="2"/>
  <c r="Z7" i="2"/>
  <c r="AA6" i="2"/>
  <c r="Z6" i="2"/>
  <c r="B14" i="1"/>
  <c r="C7" i="9" s="1"/>
  <c r="B13" i="1"/>
  <c r="B7" i="9" s="1"/>
  <c r="B16" i="2" l="1"/>
  <c r="Z9" i="2"/>
  <c r="C30" i="2"/>
  <c r="C26" i="2"/>
  <c r="D30" i="2"/>
  <c r="D26" i="2"/>
  <c r="E30" i="2"/>
  <c r="E26" i="2"/>
  <c r="F30" i="2"/>
  <c r="F26" i="2"/>
  <c r="G30" i="2"/>
  <c r="G26" i="2"/>
  <c r="H30" i="2"/>
  <c r="H26" i="2"/>
  <c r="I30" i="2"/>
  <c r="I26" i="2"/>
  <c r="J30" i="2"/>
  <c r="J26" i="2"/>
  <c r="K30" i="2"/>
  <c r="K26" i="2"/>
  <c r="L30" i="2"/>
  <c r="L26" i="2"/>
  <c r="M30" i="2"/>
  <c r="M26" i="2"/>
  <c r="B3" i="17"/>
  <c r="B7" i="14"/>
  <c r="B6" i="14"/>
  <c r="B8" i="14" s="1"/>
  <c r="B6" i="12"/>
  <c r="N16" i="2"/>
  <c r="AA9" i="2"/>
  <c r="B4" i="17"/>
  <c r="C7" i="14"/>
  <c r="C6" i="14"/>
  <c r="C8" i="14" s="1"/>
  <c r="B7" i="12"/>
  <c r="O16" i="2"/>
  <c r="B5" i="17"/>
  <c r="D7" i="14"/>
  <c r="D6" i="14"/>
  <c r="D8" i="14" s="1"/>
  <c r="B8" i="12"/>
  <c r="P16" i="2"/>
  <c r="B6" i="17"/>
  <c r="E7" i="14"/>
  <c r="E6" i="14"/>
  <c r="E8" i="14" s="1"/>
  <c r="B9" i="12"/>
  <c r="Q16" i="2"/>
  <c r="B7" i="17"/>
  <c r="F7" i="14"/>
  <c r="F6" i="14"/>
  <c r="F8" i="14" s="1"/>
  <c r="B10" i="12"/>
  <c r="R16" i="2"/>
  <c r="B8" i="17"/>
  <c r="G7" i="14"/>
  <c r="G6" i="14"/>
  <c r="G8" i="14" s="1"/>
  <c r="B11" i="12"/>
  <c r="S16" i="2"/>
  <c r="B9" i="17"/>
  <c r="H7" i="14"/>
  <c r="H6" i="14"/>
  <c r="H8" i="14" s="1"/>
  <c r="B12" i="12"/>
  <c r="T16" i="2"/>
  <c r="B10" i="17"/>
  <c r="I7" i="14"/>
  <c r="I6" i="14"/>
  <c r="I8" i="14" s="1"/>
  <c r="B13" i="12"/>
  <c r="U16" i="2"/>
  <c r="B11" i="17"/>
  <c r="J7" i="14"/>
  <c r="J6" i="14"/>
  <c r="J8" i="14" s="1"/>
  <c r="B14" i="12"/>
  <c r="V16" i="2"/>
  <c r="B12" i="17"/>
  <c r="K7" i="14"/>
  <c r="K6" i="14"/>
  <c r="K8" i="14" s="1"/>
  <c r="B15" i="12"/>
  <c r="W16" i="2"/>
  <c r="B13" i="17"/>
  <c r="L7" i="14"/>
  <c r="L6" i="14"/>
  <c r="L8" i="14" s="1"/>
  <c r="B16" i="12"/>
  <c r="X16" i="2"/>
  <c r="B14" i="17"/>
  <c r="M7" i="14"/>
  <c r="M6" i="14"/>
  <c r="M8" i="14" s="1"/>
  <c r="B17" i="12"/>
  <c r="Y16" i="2"/>
  <c r="B11" i="11"/>
  <c r="B9" i="8"/>
  <c r="B6" i="15"/>
  <c r="C11" i="11"/>
  <c r="B6" i="10"/>
  <c r="C9" i="8"/>
  <c r="B6" i="11"/>
  <c r="B10" i="8"/>
  <c r="C6" i="11"/>
  <c r="B7" i="10"/>
  <c r="D7" i="10" s="1"/>
  <c r="E7" i="10" s="1"/>
  <c r="C10" i="8"/>
  <c r="B8" i="10"/>
  <c r="D8" i="10" s="1"/>
  <c r="E8" i="10" s="1"/>
  <c r="C11" i="8"/>
  <c r="B9" i="10"/>
  <c r="D9" i="10" s="1"/>
  <c r="E9" i="10" s="1"/>
  <c r="C12" i="8"/>
  <c r="B10" i="10"/>
  <c r="D10" i="10" s="1"/>
  <c r="E10" i="10" s="1"/>
  <c r="C13" i="8"/>
  <c r="B11" i="10"/>
  <c r="D11" i="10" s="1"/>
  <c r="E11" i="10" s="1"/>
  <c r="C14" i="8"/>
  <c r="B12" i="10"/>
  <c r="D12" i="10" s="1"/>
  <c r="E12" i="10" s="1"/>
  <c r="C15" i="8"/>
  <c r="B13" i="10" l="1"/>
  <c r="D6" i="10"/>
  <c r="B7" i="15"/>
  <c r="B8" i="15" s="1"/>
  <c r="B4" i="18" s="1"/>
  <c r="Y30" i="2"/>
  <c r="Y26" i="2"/>
  <c r="X30" i="2"/>
  <c r="X26" i="2"/>
  <c r="W30" i="2"/>
  <c r="W26" i="2"/>
  <c r="V30" i="2"/>
  <c r="V26" i="2"/>
  <c r="U30" i="2"/>
  <c r="U26" i="2"/>
  <c r="T30" i="2"/>
  <c r="T26" i="2"/>
  <c r="S30" i="2"/>
  <c r="S26" i="2"/>
  <c r="R30" i="2"/>
  <c r="R26" i="2"/>
  <c r="Q30" i="2"/>
  <c r="Q26" i="2"/>
  <c r="P30" i="2"/>
  <c r="P26" i="2"/>
  <c r="O30" i="2"/>
  <c r="O26" i="2"/>
  <c r="C6" i="8"/>
  <c r="B12" i="1"/>
  <c r="N30" i="2"/>
  <c r="AA30" i="2" s="1"/>
  <c r="N26" i="2"/>
  <c r="AA26" i="2" s="1"/>
  <c r="AA16" i="2"/>
  <c r="C8" i="8" s="1"/>
  <c r="B10" i="14"/>
  <c r="B3" i="18" s="1"/>
  <c r="B6" i="8"/>
  <c r="B11" i="1"/>
  <c r="B30" i="2"/>
  <c r="Z30" i="2" s="1"/>
  <c r="B26" i="2"/>
  <c r="Z26" i="2" s="1"/>
  <c r="Z16" i="2"/>
  <c r="B8" i="8" s="1"/>
  <c r="B17" i="8" l="1"/>
  <c r="C24" i="1"/>
  <c r="B6" i="9"/>
  <c r="B8" i="9" s="1"/>
  <c r="B6" i="5"/>
  <c r="D7" i="7"/>
  <c r="D8" i="7"/>
  <c r="D9" i="7"/>
  <c r="D10" i="7"/>
  <c r="D11" i="7"/>
  <c r="D12" i="7"/>
  <c r="D13" i="7"/>
  <c r="B7" i="11"/>
  <c r="C17" i="8"/>
  <c r="D24" i="1"/>
  <c r="B9" i="19"/>
  <c r="B8" i="19"/>
  <c r="B7" i="19"/>
  <c r="B6" i="19"/>
  <c r="B5" i="19"/>
  <c r="B4" i="19"/>
  <c r="B3" i="19"/>
  <c r="C6" i="16"/>
  <c r="B7" i="16" s="1"/>
  <c r="B8" i="16" s="1"/>
  <c r="B5" i="18" s="1"/>
  <c r="C13" i="11"/>
  <c r="C6" i="9"/>
  <c r="C8" i="9" s="1"/>
  <c r="C6" i="5"/>
  <c r="F7" i="7"/>
  <c r="F8" i="7"/>
  <c r="F9" i="7"/>
  <c r="F10" i="7"/>
  <c r="F11" i="7"/>
  <c r="F12" i="7"/>
  <c r="F13" i="7"/>
  <c r="C7" i="11"/>
  <c r="D13" i="10"/>
  <c r="E6" i="10"/>
  <c r="E6" i="7" l="1"/>
  <c r="F6" i="7" s="1"/>
  <c r="D32" i="1"/>
  <c r="C6" i="7"/>
  <c r="D6" i="7" s="1"/>
  <c r="C32" i="1"/>
  <c r="C14" i="7" l="1"/>
  <c r="D14" i="7" s="1"/>
  <c r="C33" i="1"/>
  <c r="E14" i="7"/>
  <c r="F14" i="7" s="1"/>
  <c r="D33" i="1"/>
  <c r="E15" i="7" l="1"/>
  <c r="F15" i="7" s="1"/>
  <c r="B16" i="1"/>
  <c r="C15" i="7"/>
  <c r="D15" i="7" s="1"/>
  <c r="B15" i="1"/>
  <c r="B9" i="9" l="1"/>
  <c r="B10" i="9" s="1"/>
  <c r="B7" i="5"/>
  <c r="B17" i="1"/>
  <c r="B8" i="5" s="1"/>
  <c r="C9" i="9"/>
  <c r="C10" i="9" s="1"/>
  <c r="C7" i="5"/>
  <c r="B19" i="1"/>
  <c r="C10" i="5" s="1"/>
  <c r="B18" i="1"/>
  <c r="C8" i="5" s="1"/>
</calcChain>
</file>

<file path=xl/sharedStrings.xml><?xml version="1.0" encoding="utf-8"?>
<sst xmlns="http://schemas.openxmlformats.org/spreadsheetml/2006/main" count="343" uniqueCount="204">
  <si>
    <t>DASH_FEED — Dashboard data feed (auto-linked; edit blue cells only)</t>
  </si>
  <si>
    <t>[META]</t>
  </si>
  <si>
    <t>client_name</t>
  </si>
  <si>
    <t>Meadowbrook Animal Hospital</t>
  </si>
  <si>
    <t>period_py_label</t>
  </si>
  <si>
    <t>TTM Jun-25</t>
  </si>
  <si>
    <t>period_cy_label</t>
  </si>
  <si>
    <t>TTM Jun-26</t>
  </si>
  <si>
    <t>purchase_price</t>
  </si>
  <si>
    <t>location</t>
  </si>
  <si>
    <t>Franklin, Tennessee</t>
  </si>
  <si>
    <t>[KPIS]</t>
  </si>
  <si>
    <t>revenue_py</t>
  </si>
  <si>
    <t>revenue_cy</t>
  </si>
  <si>
    <t>cogs_py</t>
  </si>
  <si>
    <t>cogs_cy</t>
  </si>
  <si>
    <t>adj_ebitda_py</t>
  </si>
  <si>
    <t>adj_ebitda_cy</t>
  </si>
  <si>
    <t>adj_margin_py</t>
  </si>
  <si>
    <t>adj_margin_cy</t>
  </si>
  <si>
    <t>implied_multiple_cy</t>
  </si>
  <si>
    <t>[BRIDGE]</t>
  </si>
  <si>
    <t>line</t>
  </si>
  <si>
    <t>ref</t>
  </si>
  <si>
    <t>value_py</t>
  </si>
  <si>
    <t>value_cy</t>
  </si>
  <si>
    <t>Reported EBITDA</t>
  </si>
  <si>
    <t>Nonrecurring Expenses</t>
  </si>
  <si>
    <t>A</t>
  </si>
  <si>
    <t>DVM Compensation</t>
  </si>
  <si>
    <t>B</t>
  </si>
  <si>
    <t>Proforma Insurance</t>
  </si>
  <si>
    <t>C</t>
  </si>
  <si>
    <t>Rent Normalization</t>
  </si>
  <si>
    <t>D</t>
  </si>
  <si>
    <t>Family on Payroll</t>
  </si>
  <si>
    <t>E</t>
  </si>
  <si>
    <t>Non-recurring Legal</t>
  </si>
  <si>
    <t>F</t>
  </si>
  <si>
    <t>Loss on Disposal</t>
  </si>
  <si>
    <t>G</t>
  </si>
  <si>
    <t>Seller Adjusted EBITDA</t>
  </si>
  <si>
    <t>Diligence Adjusted EBITDA</t>
  </si>
  <si>
    <t>[MARGIN_SERIES]</t>
  </si>
  <si>
    <t>[SGA_MIX]</t>
  </si>
  <si>
    <t>month</t>
  </si>
  <si>
    <t>gross_margin_pct</t>
  </si>
  <si>
    <t>category</t>
  </si>
  <si>
    <t>adjusted_value_cy</t>
  </si>
  <si>
    <t>Jul</t>
  </si>
  <si>
    <t>Labor - DVM</t>
  </si>
  <si>
    <t>Aug</t>
  </si>
  <si>
    <t>Labor - Staff</t>
  </si>
  <si>
    <t>Sep</t>
  </si>
  <si>
    <t>Labor &amp; Fringe</t>
  </si>
  <si>
    <t>Oct</t>
  </si>
  <si>
    <t>Facility &amp; Equip</t>
  </si>
  <si>
    <t>Nov</t>
  </si>
  <si>
    <t>Admin</t>
  </si>
  <si>
    <t>Dec</t>
  </si>
  <si>
    <t>Fee/Collection</t>
  </si>
  <si>
    <t>Jan</t>
  </si>
  <si>
    <t>Marketing</t>
  </si>
  <si>
    <t>Feb</t>
  </si>
  <si>
    <t>D&amp;A</t>
  </si>
  <si>
    <t>Mar</t>
  </si>
  <si>
    <t>Apr</t>
  </si>
  <si>
    <t>May</t>
  </si>
  <si>
    <t>Jun</t>
  </si>
  <si>
    <t>[KEY_FINDINGS]</t>
  </si>
  <si>
    <t>• Dr. Alicia Monroe (owner) transitions to 21% of production post-close; comp normalized in Adjustment B.</t>
  </si>
  <si>
    <t>• Gross margin declined ~2.1% Jun-25 to Jun-26, driven by vendor price increases and higher relief-vet usage.</t>
  </si>
  <si>
    <t>• Buyer valuation revised: FY25 Adjusted EBITDA moved from $300K to $235K after a ~$85K revenue reclassification.</t>
  </si>
  <si>
    <t>• Cash proof analysis for the twelve months ended Jun-26 nets to a $0 variance.</t>
  </si>
  <si>
    <t>• Practice offers health and dental; go-forward buyer adds vision and a 2% 401(k) match.</t>
  </si>
  <si>
    <t>armanino</t>
  </si>
  <si>
    <t>Meadowbrook Animal Hospital — Monthly Income Statement (As Presented)</t>
  </si>
  <si>
    <t>All figures illustrative / fictional • $ actuals</t>
  </si>
  <si>
    <t>Account</t>
  </si>
  <si>
    <t>Jul-24</t>
  </si>
  <si>
    <t>Aug-24</t>
  </si>
  <si>
    <t>Sep-24</t>
  </si>
  <si>
    <t>Oct-24</t>
  </si>
  <si>
    <t>Nov-24</t>
  </si>
  <si>
    <t>Dec-24</t>
  </si>
  <si>
    <t>Jan-25</t>
  </si>
  <si>
    <t>Feb-25</t>
  </si>
  <si>
    <t>Mar-25</t>
  </si>
  <si>
    <t>Apr-25</t>
  </si>
  <si>
    <t>May-25</t>
  </si>
  <si>
    <t>Jun-25</t>
  </si>
  <si>
    <t>Jul-25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</si>
  <si>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</si>
  <si>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</si>
  <si>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</si>
  <si>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</si>
  <si>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</si>
  <si>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</si>
  <si>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</si>
  <si>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</si>
  <si>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</si>
  <si>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</si>
  <si>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</si>
  <si>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Revenue</t>
  </si>
  <si>
    <t>Professional Fees</t>
  </si>
  <si>
    <t>Retail &amp; Pharmacy</t>
  </si>
  <si>
    <t>Other Income</t>
  </si>
  <si>
    <t>Total Revenue</t>
  </si>
  <si>
    <t>Cost of Products</t>
  </si>
  <si>
    <t>Drugs &amp; Medical Supplies</t>
  </si>
  <si>
    <t>Prescription Diet &amp; Food</t>
  </si>
  <si>
    <t>Laboratory &amp; Outside Services</t>
  </si>
  <si>
    <t>Vaccines</t>
  </si>
  <si>
    <t>Total Cost of Products</t>
  </si>
  <si>
    <t>Gross Profit</t>
  </si>
  <si>
    <t>Operating Expenses</t>
  </si>
  <si>
    <t>Facility &amp; Equipment</t>
  </si>
  <si>
    <t>Administrative</t>
  </si>
  <si>
    <t>Fee Income &amp; Collection</t>
  </si>
  <si>
    <t>Total Operating Expenses</t>
  </si>
  <si>
    <t>EBITDA</t>
  </si>
  <si>
    <t>Depreciation &amp; Amortization</t>
  </si>
  <si>
    <t>Interest Expense</t>
  </si>
  <si>
    <t>Other Income/(Expense)</t>
  </si>
  <si>
    <t>Net Income</t>
  </si>
  <si>
    <t>Quality of Earnings — Databook (DRAFT)</t>
  </si>
  <si>
    <t>Prepared for:</t>
  </si>
  <si>
    <t>Periods presented:</t>
  </si>
  <si>
    <t>Prepared by: Armanino LLP — Transaction Advisory</t>
  </si>
  <si>
    <t>Illustrative / fictional — safe for development &amp; demo.</t>
  </si>
  <si>
    <t>Report</t>
  </si>
  <si>
    <t>Illustrative / fictional</t>
  </si>
  <si>
    <t>At your request, we performed certain due diligence procedures in connection with the</t>
  </si>
  <si>
    <t>potential acquisition of the Company. The schedules are based on information provided by the</t>
  </si>
  <si>
    <t>Company and have not been independently verified; our procedures do not constitute an audit.</t>
  </si>
  <si>
    <t>These schedules are solely for the acquirer's management and advisors.</t>
  </si>
  <si>
    <t>Armanino LLP</t>
  </si>
  <si>
    <t>Executive Summary</t>
  </si>
  <si>
    <t>Metric</t>
  </si>
  <si>
    <t>Adjusted EBITDA Margin</t>
  </si>
  <si>
    <t>Purchase Price (cash)</t>
  </si>
  <si>
    <t>Implied Multiple</t>
  </si>
  <si>
    <t>Key Findings</t>
  </si>
  <si>
    <t>EBITDA Analysis</t>
  </si>
  <si>
    <t>Line</t>
  </si>
  <si>
    <t>Ref</t>
  </si>
  <si>
    <t>% Rev</t>
  </si>
  <si>
    <t>Quality of Earnings</t>
  </si>
  <si>
    <t>Adjusted Financial Statements</t>
  </si>
  <si>
    <t>SG&amp;A Analysis (TTM Jun-26)</t>
  </si>
  <si>
    <t>Illustrative / fictional • As Presented → Adjusted</t>
  </si>
  <si>
    <t>Category</t>
  </si>
  <si>
    <t>As Presented</t>
  </si>
  <si>
    <t>Adjustment</t>
  </si>
  <si>
    <t>Adjusted</t>
  </si>
  <si>
    <t>Check</t>
  </si>
  <si>
    <t>Total (excl D&amp;A)</t>
  </si>
  <si>
    <t>Payroll Analysis</t>
  </si>
  <si>
    <t>Staff Employees</t>
  </si>
  <si>
    <t>Staff Wages</t>
  </si>
  <si>
    <t>Staff Wages as % of Revenue</t>
  </si>
  <si>
    <t>Hours</t>
  </si>
  <si>
    <t>Owner / DVM</t>
  </si>
  <si>
    <t>DVM Wages (as presented)</t>
  </si>
  <si>
    <t>DVM Wages (adjusted)</t>
  </si>
  <si>
    <t>Go-Forward Owner Comp (21% of production)</t>
  </si>
  <si>
    <t>Monthly Revenue &amp; Margin Trend (TTM Jun-26)</t>
  </si>
  <si>
    <t>Month</t>
  </si>
  <si>
    <t>Gross Margin %</t>
  </si>
  <si>
    <t>Rent Schedule</t>
  </si>
  <si>
    <t>Address</t>
  </si>
  <si>
    <t>Landlord</t>
  </si>
  <si>
    <t>Related Party</t>
  </si>
  <si>
    <t>Current Rent (annual)</t>
  </si>
  <si>
    <t>Term</t>
  </si>
  <si>
    <t>120 Meadowbrook Ln, Franklin, TN 37064</t>
  </si>
  <si>
    <t>MBK Property Holdings, LLC</t>
  </si>
  <si>
    <t>Yes</t>
  </si>
  <si>
    <t>10 years</t>
  </si>
  <si>
    <t>Proof of Cash (TTM Jun-26)</t>
  </si>
  <si>
    <t>Deposits per Bank</t>
  </si>
  <si>
    <t>Revenue Collections per P&amp;L</t>
  </si>
  <si>
    <t>Variance</t>
  </si>
  <si>
    <t>Net variance for the twelve months ended Jun-26</t>
  </si>
  <si>
    <t>Payroll Reconciliation (TTM Jun-26)</t>
  </si>
  <si>
    <t>Amount</t>
  </si>
  <si>
    <t>Wages per Monthly IS (DVM + Staff)</t>
  </si>
  <si>
    <t>Wages per Payroll Report</t>
  </si>
  <si>
    <t>Minor $1,500 variance noted; immaterial and within tolerance.</t>
  </si>
  <si>
    <t>Tax Return Reconciliation (FY25)</t>
  </si>
  <si>
    <t>Tax Return</t>
  </si>
  <si>
    <t>Financial Statements</t>
  </si>
  <si>
    <t>Difference</t>
  </si>
  <si>
    <t>Reconciling Item — Timing</t>
  </si>
  <si>
    <t>Revenue Series</t>
  </si>
  <si>
    <t>Reconciliations</t>
  </si>
  <si>
    <t>Name</t>
  </si>
  <si>
    <t>Proof of Cash</t>
  </si>
  <si>
    <t>Payroll Rec</t>
  </si>
  <si>
    <t>Tax Rec</t>
  </si>
  <si>
    <t>Common Size Analysis</t>
  </si>
  <si>
    <t>Company %</t>
  </si>
  <si>
    <t>Peer %</t>
  </si>
  <si>
    <t>Peer figures illustrative.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</si>
</sst>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$#,##0;&quot;($&quot;#,##0\);\-"/>
    <numFmt numFmtId="165" formatCode="0.0%"/>
    <numFmt numFmtId="166" formatCode="0.0\x"/>
  </numFmts>
  <fonts count="1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b/>
      <sz val="10"/>
      <color rgb="FF222222"/>
      <name val="Arial"/>
      <charset val="1"/>
    </font>
    <font>
      <sz val="10"/>
      <color rgb="FF0000FF"/>
      <name val="Arial"/>
      <charset val="1"/>
    </font>
    <font>
      <sz val="10"/>
      <color rgb="FF008000"/>
      <name val="Arial"/>
      <charset val="1"/>
    </font>
    <font>
      <sz val="10"/>
      <color rgb="FF222222"/>
      <name val="Arial"/>
      <charset val="1"/>
    </font>
    <font>
      <b/>
      <sz val="14"/>
      <color rgb="FFFFFFFF"/>
      <name val="Arial"/>
      <charset val="1"/>
    </font>
    <font>
      <i/>
      <sz val="9"/>
      <color rgb="FF6B6B63"/>
      <name val="Arial"/>
      <charset val="1"/>
    </font>
    <font>
      <b/>
      <sz val="20"/>
      <color rgb="FFFFFFFF"/>
      <name val="Arial"/>
      <charset val="1"/>
    </font>
    <font>
      <b/>
      <sz val="16"/>
      <color rgb="FF222222"/>
      <name val="Arial"/>
      <charset val="1"/>
    </font>
    <font>
      <sz val="12"/>
      <color rgb="FF008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222222"/>
        <bgColor rgb="FF333300"/>
      </patternFill>
    </fill>
    <fill>
      <patternFill patternType="solid">
        <fgColor rgb="FFF4A831"/>
        <bgColor rgb="FFFFCC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E7E7E1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5" fillId="0" borderId="0" xfId="0" applyFont="1" applyAlignment="1">
      <alignment vertical="top" wrapText="1"/>
    </xf>
    <xf numFmtId="0" fontId="2" fillId="0" borderId="0" xfId="0" applyFont="1"/>
    <xf numFmtId="0" fontId="3" fillId="0" borderId="0" xfId="0" applyFont="1"/>
    <xf numFmtId="164" fontId="3" fillId="0" borderId="0" xfId="0" applyNumberFormat="1" applyFont="1"/>
    <xf numFmtId="164" fontId="4" fillId="0" borderId="0" xfId="0" applyNumberFormat="1" applyFont="1"/>
    <xf numFmtId="164" fontId="5" fillId="0" borderId="0" xfId="0" applyNumberFormat="1" applyFont="1"/>
    <xf numFmtId="165" fontId="5" fillId="0" borderId="0" xfId="0" applyNumberFormat="1" applyFont="1"/>
    <xf numFmtId="166" fontId="5" fillId="0" borderId="0" xfId="0" applyNumberFormat="1" applyFont="1"/>
    <xf numFmtId="0" fontId="2" fillId="0" borderId="1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164" fontId="2" fillId="0" borderId="1" xfId="0" applyNumberFormat="1" applyFont="1" applyBorder="1"/>
    <xf numFmtId="0" fontId="2" fillId="3" borderId="0" xfId="0" applyFont="1" applyFill="1"/>
    <xf numFmtId="164" fontId="2" fillId="3" borderId="0" xfId="0" applyNumberFormat="1" applyFont="1" applyFill="1"/>
    <xf numFmtId="165" fontId="3" fillId="0" borderId="0" xfId="0" applyNumberFormat="1" applyFont="1"/>
    <xf numFmtId="0" fontId="7" fillId="0" borderId="0" xfId="0" applyFont="1"/>
    <xf numFmtId="0" fontId="2" fillId="0" borderId="0" xfId="0" applyFont="1" applyAlignment="1">
      <alignment horizontal="right"/>
    </xf>
    <xf numFmtId="164" fontId="2" fillId="0" borderId="0" xfId="0" applyNumberFormat="1" applyFont="1"/>
    <xf numFmtId="0" fontId="9" fillId="0" borderId="0" xfId="0" applyFont="1"/>
    <xf numFmtId="0" fontId="10" fillId="0" borderId="0" xfId="0" applyFont="1"/>
    <xf numFmtId="0" fontId="4" fillId="0" borderId="0" xfId="0" applyFont="1"/>
    <xf numFmtId="165" fontId="4" fillId="0" borderId="0" xfId="0" applyNumberFormat="1" applyFont="1"/>
    <xf numFmtId="166" fontId="4" fillId="0" borderId="0" xfId="0" applyNumberFormat="1" applyFont="1"/>
    <xf numFmtId="0" fontId="2" fillId="3" borderId="1" xfId="0" applyFont="1" applyFill="1" applyBorder="1"/>
    <xf numFmtId="164" fontId="2" fillId="3" borderId="1" xfId="0" applyNumberFormat="1" applyFont="1" applyFill="1" applyBorder="1"/>
    <xf numFmtId="164" fontId="4" fillId="0" borderId="1" xfId="0" applyNumberFormat="1" applyFont="1" applyBorder="1"/>
    <xf numFmtId="3" fontId="3" fillId="0" borderId="0" xfId="0" applyNumberFormat="1" applyFont="1"/>
    <xf numFmtId="0" fontId="1" fillId="2" borderId="0" xfId="0" applyFont="1" applyFill="1" applyAlignment="1"/>
    <xf numFmtId="0" fontId="5" fillId="0" borderId="0" xfId="0" applyFont="1" applyAlignment="1"/>
    <xf numFmtId="0" fontId="6" fillId="2" borderId="0" xfId="0" applyFont="1" applyFill="1" applyAlignment="1"/>
    <xf numFmtId="0" fontId="8" fillId="2" borderId="0" xfId="0" applyFont="1" applyFill="1" applyAlignment="1"/>
    <xf numFmtId="0" fontId="7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98A38"/>
      <rgbColor rgb="FF800080"/>
      <rgbColor rgb="FF008080"/>
      <rgbColor rgb="FFC0C0C0"/>
      <rgbColor rgb="FF808080"/>
      <rgbColor rgb="FF9999FF"/>
      <rgbColor rgb="FF993366"/>
      <rgbColor rgb="FFE7E7E1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4A831"/>
      <rgbColor rgb="FFFF6600"/>
      <rgbColor rgb="FF6B6B63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22222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4A831"/>
  </sheetPr>
  <dimension ref="A1:E65"/>
  <sheetViews>
    <sheetView tabSelected="1" zoomScaleNormal="100" workbookViewId="0"/>
  </sheetViews>
  <sheetFormatPr defaultColWidth="8.7109375" defaultRowHeight="15"/>
  <cols>
    <col min="1" max="1" width="30" customWidth="1"/>
    <col min="2" max="5" width="20" customWidth="1"/>
  </cols>
  <sheetData>
    <row r="1" spans="1:5">
      <c r="A1" s="28" t="s">
        <v>0</v>
      </c>
      <c r="B1" s="28"/>
      <c r="C1" s="28"/>
      <c r="D1" s="28"/>
      <c r="E1" s="28"/>
    </row>
    <row r="3" spans="1:5">
      <c r="A3" s="2" t="s">
        <v>1</v>
      </c>
    </row>
    <row r="4" spans="1:5">
      <c r="A4" s="2" t="s">
        <v>2</v>
      </c>
      <c r="B4" s="3" t="s">
        <v>3</v>
      </c>
    </row>
    <row r="5" spans="1:5">
      <c r="A5" s="2" t="s">
        <v>4</v>
      </c>
      <c r="B5" s="3" t="s">
        <v>5</v>
      </c>
    </row>
    <row r="6" spans="1:5">
      <c r="A6" s="2" t="s">
        <v>6</v>
      </c>
      <c r="B6" s="3" t="s">
        <v>7</v>
      </c>
    </row>
    <row r="7" spans="1:5">
      <c r="A7" s="2" t="s">
        <v>8</v>
      </c>
      <c r="B7" s="4">
        <v>3750000</v>
      </c>
    </row>
    <row r="8" spans="1:5">
      <c r="A8" s="2" t="s">
        <v>9</v>
      </c>
      <c r="B8" s="3" t="s">
        <v>10</v>
      </c>
    </row>
    <row r="10" spans="1:5">
      <c r="A10" s="2" t="s">
        <v>11</v>
      </c>
    </row>
    <row r="11" spans="1:5">
      <c r="A11" s="2" t="s">
        <v>12</v>
      </c>
      <c r="B11" s="5">
        <f>'Monthly IS'!Z9</f>
        <v>2410318</v>
      </c>
    </row>
    <row r="12" spans="1:5">
      <c r="A12" s="2" t="s">
        <v>13</v>
      </c>
      <c r="B12" s="5">
        <f>'Monthly IS'!AA9</f>
        <v>2504921</v>
      </c>
    </row>
    <row r="13" spans="1:5">
      <c r="A13" s="2" t="s">
        <v>14</v>
      </c>
      <c r="B13" s="5">
        <f>'Monthly IS'!Z15</f>
        <v>602580</v>
      </c>
    </row>
    <row r="14" spans="1:5">
      <c r="A14" s="2" t="s">
        <v>15</v>
      </c>
      <c r="B14" s="5">
        <f>'Monthly IS'!AA15</f>
        <v>651279</v>
      </c>
    </row>
    <row r="15" spans="1:5">
      <c r="A15" s="2" t="s">
        <v>16</v>
      </c>
      <c r="B15" s="6">
        <f>C33</f>
        <v>255490</v>
      </c>
    </row>
    <row r="16" spans="1:5">
      <c r="A16" s="2" t="s">
        <v>17</v>
      </c>
      <c r="B16" s="6">
        <f>D33</f>
        <v>249035</v>
      </c>
    </row>
    <row r="17" spans="1:4">
      <c r="A17" s="2" t="s">
        <v>18</v>
      </c>
      <c r="B17" s="7">
        <f>B15/B11</f>
        <v>0.10599846161377877</v>
      </c>
    </row>
    <row r="18" spans="1:4">
      <c r="A18" s="2" t="s">
        <v>19</v>
      </c>
      <c r="B18" s="7">
        <f>B16/B12</f>
        <v>9.9418305008421429E-2</v>
      </c>
    </row>
    <row r="19" spans="1:4">
      <c r="A19" s="2" t="s">
        <v>20</v>
      </c>
      <c r="B19" s="8">
        <f>B7/B16</f>
        <v>15.058124360029714</v>
      </c>
    </row>
    <row r="22" spans="1:4">
      <c r="A22" s="2" t="s">
        <v>21</v>
      </c>
    </row>
    <row r="23" spans="1:4">
      <c r="A23" s="9" t="s">
        <v>22</v>
      </c>
      <c r="B23" s="9" t="s">
        <v>23</v>
      </c>
      <c r="C23" s="9" t="s">
        <v>24</v>
      </c>
      <c r="D23" s="9" t="s">
        <v>25</v>
      </c>
    </row>
    <row r="24" spans="1:4">
      <c r="A24" s="10" t="s">
        <v>26</v>
      </c>
      <c r="C24" s="5">
        <f>'Monthly IS'!Z26</f>
        <v>61240</v>
      </c>
      <c r="D24" s="5">
        <f>'Monthly IS'!AA26</f>
        <v>38115</v>
      </c>
    </row>
    <row r="25" spans="1:4">
      <c r="A25" s="10" t="s">
        <v>27</v>
      </c>
      <c r="B25" s="11" t="s">
        <v>28</v>
      </c>
      <c r="C25" s="4">
        <v>38900</v>
      </c>
      <c r="D25" s="4">
        <v>42350</v>
      </c>
    </row>
    <row r="26" spans="1:4">
      <c r="A26" s="10" t="s">
        <v>29</v>
      </c>
      <c r="B26" s="11" t="s">
        <v>30</v>
      </c>
      <c r="C26" s="4">
        <v>152300</v>
      </c>
      <c r="D26" s="4">
        <v>168420</v>
      </c>
    </row>
    <row r="27" spans="1:4">
      <c r="A27" s="10" t="s">
        <v>31</v>
      </c>
      <c r="B27" s="11" t="s">
        <v>32</v>
      </c>
      <c r="C27" s="4">
        <v>-4200</v>
      </c>
      <c r="D27" s="4">
        <v>-3850</v>
      </c>
    </row>
    <row r="28" spans="1:4">
      <c r="A28" s="10" t="s">
        <v>33</v>
      </c>
      <c r="B28" s="11" t="s">
        <v>34</v>
      </c>
      <c r="C28" s="4">
        <v>-18600</v>
      </c>
      <c r="D28" s="4">
        <v>-6200</v>
      </c>
    </row>
    <row r="29" spans="1:4">
      <c r="A29" s="10" t="s">
        <v>35</v>
      </c>
      <c r="B29" s="11" t="s">
        <v>36</v>
      </c>
      <c r="C29" s="4">
        <v>7450</v>
      </c>
      <c r="D29" s="4">
        <v>8100</v>
      </c>
    </row>
    <row r="30" spans="1:4">
      <c r="A30" s="10" t="s">
        <v>37</v>
      </c>
      <c r="B30" s="11" t="s">
        <v>38</v>
      </c>
      <c r="C30" s="4">
        <v>5600</v>
      </c>
      <c r="D30" s="4">
        <v>2100</v>
      </c>
    </row>
    <row r="31" spans="1:4">
      <c r="A31" s="10" t="s">
        <v>39</v>
      </c>
      <c r="B31" s="11" t="s">
        <v>40</v>
      </c>
      <c r="C31" s="4">
        <v>12800</v>
      </c>
      <c r="D31" s="4">
        <v>0</v>
      </c>
    </row>
    <row r="32" spans="1:4">
      <c r="A32" s="2" t="s">
        <v>41</v>
      </c>
      <c r="C32" s="12">
        <f>C24+C25</f>
        <v>100140</v>
      </c>
      <c r="D32" s="12">
        <f>D24+D25</f>
        <v>80465</v>
      </c>
    </row>
    <row r="33" spans="1:5">
      <c r="A33" s="13" t="s">
        <v>42</v>
      </c>
      <c r="C33" s="14">
        <f>C32+SUM(C26:C31)</f>
        <v>255490</v>
      </c>
      <c r="D33" s="14">
        <f>D32+SUM(D26:D31)</f>
        <v>249035</v>
      </c>
    </row>
    <row r="44" spans="1:5">
      <c r="A44" s="2" t="s">
        <v>43</v>
      </c>
      <c r="D44" s="2" t="s">
        <v>44</v>
      </c>
    </row>
    <row r="45" spans="1:5">
      <c r="A45" s="2" t="s">
        <v>45</v>
      </c>
      <c r="B45" s="2" t="s">
        <v>46</v>
      </c>
      <c r="D45" s="2" t="s">
        <v>47</v>
      </c>
      <c r="E45" s="2" t="s">
        <v>48</v>
      </c>
    </row>
    <row r="46" spans="1:5">
      <c r="A46" s="10" t="s">
        <v>49</v>
      </c>
      <c r="B46" s="15">
        <v>0.74199999999999999</v>
      </c>
      <c r="D46" s="10" t="s">
        <v>50</v>
      </c>
      <c r="E46" s="4">
        <v>538200</v>
      </c>
    </row>
    <row r="47" spans="1:5">
      <c r="A47" s="10" t="s">
        <v>51</v>
      </c>
      <c r="B47" s="15">
        <v>0.71799999999999997</v>
      </c>
      <c r="D47" s="10" t="s">
        <v>52</v>
      </c>
      <c r="E47" s="4">
        <v>592400</v>
      </c>
    </row>
    <row r="48" spans="1:5">
      <c r="A48" s="10" t="s">
        <v>53</v>
      </c>
      <c r="B48" s="15">
        <v>0.73499999999999999</v>
      </c>
      <c r="D48" s="10" t="s">
        <v>54</v>
      </c>
      <c r="E48" s="4">
        <v>174800</v>
      </c>
    </row>
    <row r="49" spans="1:5">
      <c r="A49" s="10" t="s">
        <v>55</v>
      </c>
      <c r="B49" s="15">
        <v>0.70899999999999996</v>
      </c>
      <c r="D49" s="10" t="s">
        <v>56</v>
      </c>
      <c r="E49" s="4">
        <v>138900</v>
      </c>
    </row>
    <row r="50" spans="1:5">
      <c r="A50" s="10" t="s">
        <v>57</v>
      </c>
      <c r="B50" s="15">
        <v>0.751</v>
      </c>
      <c r="D50" s="10" t="s">
        <v>58</v>
      </c>
      <c r="E50" s="4">
        <v>80707</v>
      </c>
    </row>
    <row r="51" spans="1:5">
      <c r="A51" s="10" t="s">
        <v>59</v>
      </c>
      <c r="B51" s="15">
        <v>0.68799999999999994</v>
      </c>
      <c r="D51" s="10" t="s">
        <v>60</v>
      </c>
      <c r="E51" s="4">
        <v>58200</v>
      </c>
    </row>
    <row r="52" spans="1:5">
      <c r="A52" s="10" t="s">
        <v>61</v>
      </c>
      <c r="B52" s="15">
        <v>0.72599999999999998</v>
      </c>
      <c r="D52" s="10" t="s">
        <v>62</v>
      </c>
      <c r="E52" s="4">
        <v>21400</v>
      </c>
    </row>
    <row r="53" spans="1:5">
      <c r="A53" s="10" t="s">
        <v>63</v>
      </c>
      <c r="B53" s="15">
        <v>0.74399999999999999</v>
      </c>
      <c r="D53" s="10" t="s">
        <v>64</v>
      </c>
      <c r="E53" s="4">
        <v>63100</v>
      </c>
    </row>
    <row r="54" spans="1:5">
      <c r="A54" s="10" t="s">
        <v>65</v>
      </c>
      <c r="B54" s="15">
        <v>0.70099999999999996</v>
      </c>
    </row>
    <row r="55" spans="1:5">
      <c r="A55" s="10" t="s">
        <v>66</v>
      </c>
      <c r="B55" s="15">
        <v>0.73299999999999998</v>
      </c>
    </row>
    <row r="56" spans="1:5">
      <c r="A56" s="10" t="s">
        <v>67</v>
      </c>
      <c r="B56" s="15">
        <v>0.71699999999999997</v>
      </c>
    </row>
    <row r="57" spans="1:5">
      <c r="A57" s="10" t="s">
        <v>68</v>
      </c>
      <c r="B57" s="15">
        <v>0.74</v>
      </c>
    </row>
    <row r="60" spans="1:5">
      <c r="A60" s="2" t="s">
        <v>69</v>
      </c>
    </row>
    <row r="61" spans="1:5">
      <c r="A61" s="29" t="s">
        <v>70</v>
      </c>
      <c r="B61" s="29"/>
      <c r="C61" s="29"/>
      <c r="D61" s="29"/>
      <c r="E61" s="29"/>
    </row>
    <row r="62" spans="1:5">
      <c r="A62" s="29" t="s">
        <v>71</v>
      </c>
      <c r="B62" s="29"/>
      <c r="C62" s="29"/>
      <c r="D62" s="29"/>
      <c r="E62" s="29"/>
    </row>
    <row r="63" spans="1:5">
      <c r="A63" s="29" t="s">
        <v>72</v>
      </c>
      <c r="B63" s="29"/>
      <c r="C63" s="29"/>
      <c r="D63" s="29"/>
      <c r="E63" s="29"/>
    </row>
    <row r="64" spans="1:5">
      <c r="A64" s="29" t="s">
        <v>73</v>
      </c>
      <c r="B64" s="29"/>
      <c r="C64" s="29"/>
      <c r="D64" s="29"/>
      <c r="E64" s="29"/>
    </row>
    <row r="65" spans="1:5">
      <c r="A65" s="29" t="s">
        <v>74</v>
      </c>
      <c r="B65" s="29"/>
      <c r="C65" s="29"/>
      <c r="D65" s="29"/>
      <c r="E65" s="29"/>
    </row>
  </sheetData>
  <mergeCells count="6">
    <mergeCell ref="A65:E65"/>
    <mergeCell ref="A1:E1"/>
    <mergeCell ref="A61:E61"/>
    <mergeCell ref="A62:E62"/>
    <mergeCell ref="A63:E63"/>
    <mergeCell ref="A64:E64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A30"/>
  <sheetViews>
    <sheetView zoomScaleNormal="100" workbookViewId="0">
      <pane xSplit="1" ySplit="4" topLeftCell="B5" activePane="bottomRight" state="frozen"/>
      <selection pane="bottomRight"/>
      <selection pane="bottomLeft" activeCell="A5" sqref="A5"/>
      <selection pane="topRight" activeCell="B1" sqref="B1"/>
    </sheetView>
  </sheetViews>
  <sheetFormatPr defaultColWidth="8.7109375" defaultRowHeight="15"/>
  <cols>
    <col min="1" max="1" width="28" customWidth="1"/>
    <col min="2" max="27" width="11" customWidth="1"/>
  </cols>
  <sheetData>
    <row r="1" spans="1:27" ht="17.45">
      <c r="A1" s="30" t="s">
        <v>75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</row>
    <row r="2" spans="1:27">
      <c r="A2" s="2" t="s">
        <v>76</v>
      </c>
    </row>
    <row r="3" spans="1:27">
      <c r="A3" s="16" t="s">
        <v>77</v>
      </c>
    </row>
    <row r="4" spans="1:27">
      <c r="A4" s="2" t="s">
        <v>78</v>
      </c>
      <c r="B4" s="17" t="s">
        <v>79</v>
      </c>
      <c r="C4" s="17" t="s">
        <v>80</v>
      </c>
      <c r="D4" s="17" t="s">
        <v>81</v>
      </c>
      <c r="E4" s="17" t="s">
        <v>82</v>
      </c>
      <c r="F4" s="17" t="s">
        <v>83</v>
      </c>
      <c r="G4" s="17" t="s">
        <v>84</v>
      </c>
      <c r="H4" s="17" t="s">
        <v>85</v>
      </c>
      <c r="I4" s="17" t="s">
        <v>86</v>
      </c>
      <c r="J4" s="17" t="s">
        <v>87</v>
      </c>
      <c r="K4" s="17" t="s">
        <v>88</v>
      </c>
      <c r="L4" s="17" t="s">
        <v>89</v>
      </c>
      <c r="M4" s="17" t="s">
        <v>90</v>
      </c>
      <c r="N4" s="17" t="s">
        <v>91</v>
      </c>
      <c r="O4" s="17" t="s">
        <v>92</v>
      </c>
      <c r="P4" s="17" t="s">
        <v>93</v>
      </c>
      <c r="Q4" s="17" t="s">
        <v>94</v>
      </c>
      <c r="R4" s="17" t="s">
        <v>95</v>
      </c>
      <c r="S4" s="17" t="s">
        <v>96</v>
      </c>
      <c r="T4" s="17" t="s">
        <v>97</v>
      </c>
      <c r="U4" s="17" t="s">
        <v>98</v>
      </c>
      <c r="V4" s="17" t="s">
        <v>99</v>
      </c>
      <c r="W4" s="17" t="s">
        <v>100</v>
      </c>
      <c r="X4" s="17" t="s">
        <v>101</v>
      </c>
      <c r="Y4" s="17" t="s">
        <v>102</v>
      </c>
      <c r="Z4" s="17" t="s">
        <v>5</v>
      </c>
      <c r="AA4" s="17" t="s">
        <v>7</v>
      </c>
    </row>
    <row r="5" spans="1:27">
      <c r="A5" s="2" t="s">
        <v>103</v>
      </c>
    </row>
    <row r="6" spans="1:27">
      <c r="A6" s="10" t="s">
        <v>104</v>
      </c>
      <c r="B6" s="4">
        <v>156189</v>
      </c>
      <c r="C6" s="4">
        <v>163902</v>
      </c>
      <c r="D6" s="4">
        <v>160045</v>
      </c>
      <c r="E6" s="4">
        <v>169686</v>
      </c>
      <c r="F6" s="4">
        <v>152332</v>
      </c>
      <c r="G6" s="4">
        <v>134978</v>
      </c>
      <c r="H6" s="4">
        <v>158117</v>
      </c>
      <c r="I6" s="4">
        <v>161974</v>
      </c>
      <c r="J6" s="4">
        <v>171614</v>
      </c>
      <c r="K6" s="4">
        <v>165830</v>
      </c>
      <c r="L6" s="4">
        <v>169686</v>
      </c>
      <c r="M6" s="4">
        <v>163902</v>
      </c>
      <c r="N6" s="4">
        <v>162319</v>
      </c>
      <c r="O6" s="4">
        <v>170334</v>
      </c>
      <c r="P6" s="4">
        <v>166326</v>
      </c>
      <c r="Q6" s="4">
        <v>176346</v>
      </c>
      <c r="R6" s="4">
        <v>158311</v>
      </c>
      <c r="S6" s="4">
        <v>140275</v>
      </c>
      <c r="T6" s="4">
        <v>164323</v>
      </c>
      <c r="U6" s="4">
        <v>168330</v>
      </c>
      <c r="V6" s="4">
        <v>178350</v>
      </c>
      <c r="W6" s="4">
        <v>172338</v>
      </c>
      <c r="X6" s="4">
        <v>176346</v>
      </c>
      <c r="Y6" s="4">
        <v>170335</v>
      </c>
      <c r="Z6" s="18">
        <f>SUM(B6:M6)</f>
        <v>1928255</v>
      </c>
      <c r="AA6" s="18">
        <f>SUM(N6:Y6)</f>
        <v>2003933</v>
      </c>
    </row>
    <row r="7" spans="1:27">
      <c r="A7" s="10" t="s">
        <v>105</v>
      </c>
      <c r="B7" s="4">
        <v>33190</v>
      </c>
      <c r="C7" s="4">
        <v>34829</v>
      </c>
      <c r="D7" s="4">
        <v>34010</v>
      </c>
      <c r="E7" s="4">
        <v>36058</v>
      </c>
      <c r="F7" s="4">
        <v>32371</v>
      </c>
      <c r="G7" s="4">
        <v>28683</v>
      </c>
      <c r="H7" s="4">
        <v>33600</v>
      </c>
      <c r="I7" s="4">
        <v>34419</v>
      </c>
      <c r="J7" s="4">
        <v>36468</v>
      </c>
      <c r="K7" s="4">
        <v>35239</v>
      </c>
      <c r="L7" s="4">
        <v>36058</v>
      </c>
      <c r="M7" s="4">
        <v>34829</v>
      </c>
      <c r="N7" s="4">
        <v>34493</v>
      </c>
      <c r="O7" s="4">
        <v>36196</v>
      </c>
      <c r="P7" s="4">
        <v>35344</v>
      </c>
      <c r="Q7" s="4">
        <v>37474</v>
      </c>
      <c r="R7" s="4">
        <v>33641</v>
      </c>
      <c r="S7" s="4">
        <v>29808</v>
      </c>
      <c r="T7" s="4">
        <v>34919</v>
      </c>
      <c r="U7" s="4">
        <v>35770</v>
      </c>
      <c r="V7" s="4">
        <v>37899</v>
      </c>
      <c r="W7" s="4">
        <v>36622</v>
      </c>
      <c r="X7" s="4">
        <v>37474</v>
      </c>
      <c r="Y7" s="4">
        <v>36196</v>
      </c>
      <c r="Z7" s="18">
        <f>SUM(B7:M7)</f>
        <v>409754</v>
      </c>
      <c r="AA7" s="18">
        <f>SUM(N7:Y7)</f>
        <v>425836</v>
      </c>
    </row>
    <row r="8" spans="1:27">
      <c r="A8" s="10" t="s">
        <v>106</v>
      </c>
      <c r="B8" s="4">
        <v>5857</v>
      </c>
      <c r="C8" s="4">
        <v>6146</v>
      </c>
      <c r="D8" s="4">
        <v>6001</v>
      </c>
      <c r="E8" s="4">
        <v>6364</v>
      </c>
      <c r="F8" s="4">
        <v>5712</v>
      </c>
      <c r="G8" s="4">
        <v>5061</v>
      </c>
      <c r="H8" s="4">
        <v>5929</v>
      </c>
      <c r="I8" s="4">
        <v>6074</v>
      </c>
      <c r="J8" s="4">
        <v>6436</v>
      </c>
      <c r="K8" s="4">
        <v>6218</v>
      </c>
      <c r="L8" s="4">
        <v>6364</v>
      </c>
      <c r="M8" s="4">
        <v>6147</v>
      </c>
      <c r="N8" s="4">
        <v>6087</v>
      </c>
      <c r="O8" s="4">
        <v>6388</v>
      </c>
      <c r="P8" s="4">
        <v>6238</v>
      </c>
      <c r="Q8" s="4">
        <v>6613</v>
      </c>
      <c r="R8" s="4">
        <v>5937</v>
      </c>
      <c r="S8" s="4">
        <v>5261</v>
      </c>
      <c r="T8" s="4">
        <v>6162</v>
      </c>
      <c r="U8" s="4">
        <v>6313</v>
      </c>
      <c r="V8" s="4">
        <v>6689</v>
      </c>
      <c r="W8" s="4">
        <v>6463</v>
      </c>
      <c r="X8" s="4">
        <v>6613</v>
      </c>
      <c r="Y8" s="4">
        <v>6388</v>
      </c>
      <c r="Z8" s="18">
        <f>SUM(B8:M8)</f>
        <v>72309</v>
      </c>
      <c r="AA8" s="18">
        <f>SUM(N8:Y8)</f>
        <v>75152</v>
      </c>
    </row>
    <row r="9" spans="1:27">
      <c r="A9" s="2" t="s">
        <v>107</v>
      </c>
      <c r="B9" s="6">
        <f>SUM(B6:B8)</f>
        <v>195236</v>
      </c>
      <c r="C9" s="6">
        <f>SUM(C6:C8)</f>
        <v>204877</v>
      </c>
      <c r="D9" s="6">
        <f>SUM(D6:D8)</f>
        <v>200056</v>
      </c>
      <c r="E9" s="6">
        <f>SUM(E6:E8)</f>
        <v>212108</v>
      </c>
      <c r="F9" s="6">
        <f>SUM(F6:F8)</f>
        <v>190415</v>
      </c>
      <c r="G9" s="6">
        <f>SUM(G6:G8)</f>
        <v>168722</v>
      </c>
      <c r="H9" s="6">
        <f>SUM(H6:H8)</f>
        <v>197646</v>
      </c>
      <c r="I9" s="6">
        <f>SUM(I6:I8)</f>
        <v>202467</v>
      </c>
      <c r="J9" s="6">
        <f>SUM(J6:J8)</f>
        <v>214518</v>
      </c>
      <c r="K9" s="6">
        <f>SUM(K6:K8)</f>
        <v>207287</v>
      </c>
      <c r="L9" s="6">
        <f>SUM(L6:L8)</f>
        <v>212108</v>
      </c>
      <c r="M9" s="6">
        <f>SUM(M6:M8)</f>
        <v>204878</v>
      </c>
      <c r="N9" s="6">
        <f>SUM(N6:N8)</f>
        <v>202899</v>
      </c>
      <c r="O9" s="6">
        <f>SUM(O6:O8)</f>
        <v>212918</v>
      </c>
      <c r="P9" s="6">
        <f>SUM(P6:P8)</f>
        <v>207908</v>
      </c>
      <c r="Q9" s="6">
        <f>SUM(Q6:Q8)</f>
        <v>220433</v>
      </c>
      <c r="R9" s="6">
        <f>SUM(R6:R8)</f>
        <v>197889</v>
      </c>
      <c r="S9" s="6">
        <f>SUM(S6:S8)</f>
        <v>175344</v>
      </c>
      <c r="T9" s="6">
        <f>SUM(T6:T8)</f>
        <v>205404</v>
      </c>
      <c r="U9" s="6">
        <f>SUM(U6:U8)</f>
        <v>210413</v>
      </c>
      <c r="V9" s="6">
        <f>SUM(V6:V8)</f>
        <v>222938</v>
      </c>
      <c r="W9" s="6">
        <f>SUM(W6:W8)</f>
        <v>215423</v>
      </c>
      <c r="X9" s="6">
        <f>SUM(X6:X8)</f>
        <v>220433</v>
      </c>
      <c r="Y9" s="6">
        <f>SUM(Y6:Y8)</f>
        <v>212919</v>
      </c>
      <c r="Z9" s="18">
        <f>SUM(B9:M9)</f>
        <v>2410318</v>
      </c>
      <c r="AA9" s="18">
        <f>SUM(N9:Y9)</f>
        <v>2504921</v>
      </c>
    </row>
    <row r="10" spans="1:27">
      <c r="A10" s="2" t="s">
        <v>108</v>
      </c>
    </row>
    <row r="11" spans="1:27">
      <c r="A11" s="10" t="s">
        <v>109</v>
      </c>
      <c r="B11" s="4">
        <v>26845</v>
      </c>
      <c r="C11" s="4">
        <v>28170</v>
      </c>
      <c r="D11" s="4">
        <v>27508</v>
      </c>
      <c r="E11" s="4">
        <v>29165</v>
      </c>
      <c r="F11" s="4">
        <v>26182</v>
      </c>
      <c r="G11" s="4">
        <v>23200</v>
      </c>
      <c r="H11" s="4">
        <v>27177</v>
      </c>
      <c r="I11" s="4">
        <v>27839</v>
      </c>
      <c r="J11" s="4">
        <v>29497</v>
      </c>
      <c r="K11" s="4">
        <v>28502</v>
      </c>
      <c r="L11" s="4">
        <v>29165</v>
      </c>
      <c r="M11" s="4">
        <v>28170</v>
      </c>
      <c r="N11" s="4">
        <v>29015</v>
      </c>
      <c r="O11" s="4">
        <v>30447</v>
      </c>
      <c r="P11" s="4">
        <v>29731</v>
      </c>
      <c r="Q11" s="4">
        <v>31522</v>
      </c>
      <c r="R11" s="4">
        <v>28298</v>
      </c>
      <c r="S11" s="4">
        <v>25075</v>
      </c>
      <c r="T11" s="4">
        <v>29373</v>
      </c>
      <c r="U11" s="4">
        <v>30089</v>
      </c>
      <c r="V11" s="4">
        <v>31880</v>
      </c>
      <c r="W11" s="4">
        <v>30806</v>
      </c>
      <c r="X11" s="4">
        <v>31522</v>
      </c>
      <c r="Y11" s="4">
        <v>30446</v>
      </c>
      <c r="Z11" s="18">
        <f>SUM(B11:M11)</f>
        <v>331420</v>
      </c>
      <c r="AA11" s="18">
        <f>SUM(N11:Y11)</f>
        <v>358204</v>
      </c>
    </row>
    <row r="12" spans="1:27">
      <c r="A12" s="10" t="s">
        <v>110</v>
      </c>
      <c r="B12" s="4">
        <v>9762</v>
      </c>
      <c r="C12" s="4">
        <v>10244</v>
      </c>
      <c r="D12" s="4">
        <v>10003</v>
      </c>
      <c r="E12" s="4">
        <v>10605</v>
      </c>
      <c r="F12" s="4">
        <v>9521</v>
      </c>
      <c r="G12" s="4">
        <v>8436</v>
      </c>
      <c r="H12" s="4">
        <v>9882</v>
      </c>
      <c r="I12" s="4">
        <v>10123</v>
      </c>
      <c r="J12" s="4">
        <v>10726</v>
      </c>
      <c r="K12" s="4">
        <v>10364</v>
      </c>
      <c r="L12" s="4">
        <v>10605</v>
      </c>
      <c r="M12" s="4">
        <v>10244</v>
      </c>
      <c r="N12" s="4">
        <v>10551</v>
      </c>
      <c r="O12" s="4">
        <v>11072</v>
      </c>
      <c r="P12" s="4">
        <v>10811</v>
      </c>
      <c r="Q12" s="4">
        <v>11463</v>
      </c>
      <c r="R12" s="4">
        <v>10290</v>
      </c>
      <c r="S12" s="4">
        <v>9118</v>
      </c>
      <c r="T12" s="4">
        <v>10681</v>
      </c>
      <c r="U12" s="4">
        <v>10941</v>
      </c>
      <c r="V12" s="4">
        <v>11593</v>
      </c>
      <c r="W12" s="4">
        <v>11202</v>
      </c>
      <c r="X12" s="4">
        <v>11463</v>
      </c>
      <c r="Y12" s="4">
        <v>11071</v>
      </c>
      <c r="Z12" s="18">
        <f>SUM(B12:M12)</f>
        <v>120515</v>
      </c>
      <c r="AA12" s="18">
        <f>SUM(N12:Y12)</f>
        <v>130256</v>
      </c>
    </row>
    <row r="13" spans="1:27">
      <c r="A13" s="10" t="s">
        <v>111</v>
      </c>
      <c r="B13" s="4">
        <v>7321</v>
      </c>
      <c r="C13" s="4">
        <v>7683</v>
      </c>
      <c r="D13" s="4">
        <v>7502</v>
      </c>
      <c r="E13" s="4">
        <v>7954</v>
      </c>
      <c r="F13" s="4">
        <v>7141</v>
      </c>
      <c r="G13" s="4">
        <v>6327</v>
      </c>
      <c r="H13" s="4">
        <v>7412</v>
      </c>
      <c r="I13" s="4">
        <v>7593</v>
      </c>
      <c r="J13" s="4">
        <v>8044</v>
      </c>
      <c r="K13" s="4">
        <v>7773</v>
      </c>
      <c r="L13" s="4">
        <v>7954</v>
      </c>
      <c r="M13" s="4">
        <v>7683</v>
      </c>
      <c r="N13" s="4">
        <v>7913</v>
      </c>
      <c r="O13" s="4">
        <v>8304</v>
      </c>
      <c r="P13" s="4">
        <v>8108</v>
      </c>
      <c r="Q13" s="4">
        <v>8597</v>
      </c>
      <c r="R13" s="4">
        <v>7718</v>
      </c>
      <c r="S13" s="4">
        <v>6838</v>
      </c>
      <c r="T13" s="4">
        <v>8011</v>
      </c>
      <c r="U13" s="4">
        <v>8206</v>
      </c>
      <c r="V13" s="4">
        <v>8695</v>
      </c>
      <c r="W13" s="4">
        <v>8402</v>
      </c>
      <c r="X13" s="4">
        <v>8597</v>
      </c>
      <c r="Y13" s="4">
        <v>8304</v>
      </c>
      <c r="Z13" s="18">
        <f>SUM(B13:M13)</f>
        <v>90387</v>
      </c>
      <c r="AA13" s="18">
        <f>SUM(N13:Y13)</f>
        <v>97693</v>
      </c>
    </row>
    <row r="14" spans="1:27">
      <c r="A14" s="10" t="s">
        <v>112</v>
      </c>
      <c r="B14" s="4">
        <v>4881</v>
      </c>
      <c r="C14" s="4">
        <v>5122</v>
      </c>
      <c r="D14" s="4">
        <v>5001</v>
      </c>
      <c r="E14" s="4">
        <v>5303</v>
      </c>
      <c r="F14" s="4">
        <v>4760</v>
      </c>
      <c r="G14" s="4">
        <v>4218</v>
      </c>
      <c r="H14" s="4">
        <v>4941</v>
      </c>
      <c r="I14" s="4">
        <v>5062</v>
      </c>
      <c r="J14" s="4">
        <v>5363</v>
      </c>
      <c r="K14" s="4">
        <v>5183</v>
      </c>
      <c r="L14" s="4">
        <v>5303</v>
      </c>
      <c r="M14" s="4">
        <v>5121</v>
      </c>
      <c r="N14" s="4">
        <v>5275</v>
      </c>
      <c r="O14" s="4">
        <v>5536</v>
      </c>
      <c r="P14" s="4">
        <v>5406</v>
      </c>
      <c r="Q14" s="4">
        <v>5731</v>
      </c>
      <c r="R14" s="4">
        <v>5145</v>
      </c>
      <c r="S14" s="4">
        <v>4559</v>
      </c>
      <c r="T14" s="4">
        <v>5340</v>
      </c>
      <c r="U14" s="4">
        <v>5471</v>
      </c>
      <c r="V14" s="4">
        <v>5796</v>
      </c>
      <c r="W14" s="4">
        <v>5600</v>
      </c>
      <c r="X14" s="4">
        <v>5731</v>
      </c>
      <c r="Y14" s="4">
        <v>5536</v>
      </c>
      <c r="Z14" s="18">
        <f>SUM(B14:M14)</f>
        <v>60258</v>
      </c>
      <c r="AA14" s="18">
        <f>SUM(N14:Y14)</f>
        <v>65126</v>
      </c>
    </row>
    <row r="15" spans="1:27">
      <c r="A15" s="2" t="s">
        <v>113</v>
      </c>
      <c r="B15" s="6">
        <f>SUM(B11:B14)</f>
        <v>48809</v>
      </c>
      <c r="C15" s="6">
        <f>SUM(C11:C14)</f>
        <v>51219</v>
      </c>
      <c r="D15" s="6">
        <f>SUM(D11:D14)</f>
        <v>50014</v>
      </c>
      <c r="E15" s="6">
        <f>SUM(E11:E14)</f>
        <v>53027</v>
      </c>
      <c r="F15" s="6">
        <f>SUM(F11:F14)</f>
        <v>47604</v>
      </c>
      <c r="G15" s="6">
        <f>SUM(G11:G14)</f>
        <v>42181</v>
      </c>
      <c r="H15" s="6">
        <f>SUM(H11:H14)</f>
        <v>49412</v>
      </c>
      <c r="I15" s="6">
        <f>SUM(I11:I14)</f>
        <v>50617</v>
      </c>
      <c r="J15" s="6">
        <f>SUM(J11:J14)</f>
        <v>53630</v>
      </c>
      <c r="K15" s="6">
        <f>SUM(K11:K14)</f>
        <v>51822</v>
      </c>
      <c r="L15" s="6">
        <f>SUM(L11:L14)</f>
        <v>53027</v>
      </c>
      <c r="M15" s="6">
        <f>SUM(M11:M14)</f>
        <v>51218</v>
      </c>
      <c r="N15" s="6">
        <f>SUM(N11:N14)</f>
        <v>52754</v>
      </c>
      <c r="O15" s="6">
        <f>SUM(O11:O14)</f>
        <v>55359</v>
      </c>
      <c r="P15" s="6">
        <f>SUM(P11:P14)</f>
        <v>54056</v>
      </c>
      <c r="Q15" s="6">
        <f>SUM(Q11:Q14)</f>
        <v>57313</v>
      </c>
      <c r="R15" s="6">
        <f>SUM(R11:R14)</f>
        <v>51451</v>
      </c>
      <c r="S15" s="6">
        <f>SUM(S11:S14)</f>
        <v>45590</v>
      </c>
      <c r="T15" s="6">
        <f>SUM(T11:T14)</f>
        <v>53405</v>
      </c>
      <c r="U15" s="6">
        <f>SUM(U11:U14)</f>
        <v>54707</v>
      </c>
      <c r="V15" s="6">
        <f>SUM(V11:V14)</f>
        <v>57964</v>
      </c>
      <c r="W15" s="6">
        <f>SUM(W11:W14)</f>
        <v>56010</v>
      </c>
      <c r="X15" s="6">
        <f>SUM(X11:X14)</f>
        <v>57313</v>
      </c>
      <c r="Y15" s="6">
        <f>SUM(Y11:Y14)</f>
        <v>55357</v>
      </c>
      <c r="Z15" s="18">
        <f>SUM(B15:M15)</f>
        <v>602580</v>
      </c>
      <c r="AA15" s="18">
        <f>SUM(N15:Y15)</f>
        <v>651279</v>
      </c>
    </row>
    <row r="16" spans="1:27">
      <c r="A16" s="2" t="s">
        <v>114</v>
      </c>
      <c r="B16" s="6">
        <f>B9-B15</f>
        <v>146427</v>
      </c>
      <c r="C16" s="6">
        <f>C9-C15</f>
        <v>153658</v>
      </c>
      <c r="D16" s="6">
        <f>D9-D15</f>
        <v>150042</v>
      </c>
      <c r="E16" s="6">
        <f>E9-E15</f>
        <v>159081</v>
      </c>
      <c r="F16" s="6">
        <f>F9-F15</f>
        <v>142811</v>
      </c>
      <c r="G16" s="6">
        <f>G9-G15</f>
        <v>126541</v>
      </c>
      <c r="H16" s="6">
        <f>H9-H15</f>
        <v>148234</v>
      </c>
      <c r="I16" s="6">
        <f>I9-I15</f>
        <v>151850</v>
      </c>
      <c r="J16" s="6">
        <f>J9-J15</f>
        <v>160888</v>
      </c>
      <c r="K16" s="6">
        <f>K9-K15</f>
        <v>155465</v>
      </c>
      <c r="L16" s="6">
        <f>L9-L15</f>
        <v>159081</v>
      </c>
      <c r="M16" s="6">
        <f>M9-M15</f>
        <v>153660</v>
      </c>
      <c r="N16" s="6">
        <f>N9-N15</f>
        <v>150145</v>
      </c>
      <c r="O16" s="6">
        <f>O9-O15</f>
        <v>157559</v>
      </c>
      <c r="P16" s="6">
        <f>P9-P15</f>
        <v>153852</v>
      </c>
      <c r="Q16" s="6">
        <f>Q9-Q15</f>
        <v>163120</v>
      </c>
      <c r="R16" s="6">
        <f>R9-R15</f>
        <v>146438</v>
      </c>
      <c r="S16" s="6">
        <f>S9-S15</f>
        <v>129754</v>
      </c>
      <c r="T16" s="6">
        <f>T9-T15</f>
        <v>151999</v>
      </c>
      <c r="U16" s="6">
        <f>U9-U15</f>
        <v>155706</v>
      </c>
      <c r="V16" s="6">
        <f>V9-V15</f>
        <v>164974</v>
      </c>
      <c r="W16" s="6">
        <f>W9-W15</f>
        <v>159413</v>
      </c>
      <c r="X16" s="6">
        <f>X9-X15</f>
        <v>163120</v>
      </c>
      <c r="Y16" s="6">
        <f>Y9-Y15</f>
        <v>157562</v>
      </c>
      <c r="Z16" s="18">
        <f>SUM(B16:M16)</f>
        <v>1807738</v>
      </c>
      <c r="AA16" s="18">
        <f>SUM(N16:Y16)</f>
        <v>1853642</v>
      </c>
    </row>
    <row r="17" spans="1:27">
      <c r="A17" s="2" t="s">
        <v>115</v>
      </c>
    </row>
    <row r="18" spans="1:27">
      <c r="A18" s="10" t="s">
        <v>50</v>
      </c>
      <c r="B18" s="4">
        <v>55060</v>
      </c>
      <c r="C18" s="4">
        <v>57779</v>
      </c>
      <c r="D18" s="4">
        <v>56419</v>
      </c>
      <c r="E18" s="4">
        <v>59818</v>
      </c>
      <c r="F18" s="4">
        <v>53700</v>
      </c>
      <c r="G18" s="4">
        <v>47583</v>
      </c>
      <c r="H18" s="4">
        <v>55740</v>
      </c>
      <c r="I18" s="4">
        <v>57099</v>
      </c>
      <c r="J18" s="4">
        <v>60498</v>
      </c>
      <c r="K18" s="4">
        <v>58459</v>
      </c>
      <c r="L18" s="4">
        <v>59818</v>
      </c>
      <c r="M18" s="4">
        <v>57780</v>
      </c>
      <c r="N18" s="4">
        <v>57236</v>
      </c>
      <c r="O18" s="4">
        <v>60063</v>
      </c>
      <c r="P18" s="4">
        <v>58649</v>
      </c>
      <c r="Q18" s="4">
        <v>62183</v>
      </c>
      <c r="R18" s="4">
        <v>55823</v>
      </c>
      <c r="S18" s="4">
        <v>49463</v>
      </c>
      <c r="T18" s="4">
        <v>57943</v>
      </c>
      <c r="U18" s="4">
        <v>59356</v>
      </c>
      <c r="V18" s="4">
        <v>62889</v>
      </c>
      <c r="W18" s="4">
        <v>60769</v>
      </c>
      <c r="X18" s="4">
        <v>62183</v>
      </c>
      <c r="Y18" s="4">
        <v>60063</v>
      </c>
      <c r="Z18" s="18">
        <f>SUM(B18:M18)</f>
        <v>679753</v>
      </c>
      <c r="AA18" s="18">
        <f>SUM(N18:Y18)</f>
        <v>706620</v>
      </c>
    </row>
    <row r="19" spans="1:27">
      <c r="A19" s="10" t="s">
        <v>52</v>
      </c>
      <c r="B19" s="4">
        <v>46791</v>
      </c>
      <c r="C19" s="4">
        <v>49102</v>
      </c>
      <c r="D19" s="4">
        <v>47946</v>
      </c>
      <c r="E19" s="4">
        <v>50835</v>
      </c>
      <c r="F19" s="4">
        <v>45636</v>
      </c>
      <c r="G19" s="4">
        <v>40437</v>
      </c>
      <c r="H19" s="4">
        <v>47369</v>
      </c>
      <c r="I19" s="4">
        <v>48524</v>
      </c>
      <c r="J19" s="4">
        <v>51412</v>
      </c>
      <c r="K19" s="4">
        <v>49679</v>
      </c>
      <c r="L19" s="4">
        <v>50835</v>
      </c>
      <c r="M19" s="4">
        <v>49102</v>
      </c>
      <c r="N19" s="4">
        <v>48640</v>
      </c>
      <c r="O19" s="4">
        <v>51043</v>
      </c>
      <c r="P19" s="4">
        <v>49842</v>
      </c>
      <c r="Q19" s="4">
        <v>52844</v>
      </c>
      <c r="R19" s="4">
        <v>47440</v>
      </c>
      <c r="S19" s="4">
        <v>42035</v>
      </c>
      <c r="T19" s="4">
        <v>49241</v>
      </c>
      <c r="U19" s="4">
        <v>50442</v>
      </c>
      <c r="V19" s="4">
        <v>53444</v>
      </c>
      <c r="W19" s="4">
        <v>51643</v>
      </c>
      <c r="X19" s="4">
        <v>52844</v>
      </c>
      <c r="Y19" s="4">
        <v>51042</v>
      </c>
      <c r="Z19" s="18">
        <f>SUM(B19:M19)</f>
        <v>577668</v>
      </c>
      <c r="AA19" s="18">
        <f>SUM(N19:Y19)</f>
        <v>600500</v>
      </c>
    </row>
    <row r="20" spans="1:27">
      <c r="A20" s="10" t="s">
        <v>54</v>
      </c>
      <c r="B20" s="4">
        <v>13620</v>
      </c>
      <c r="C20" s="4">
        <v>14293</v>
      </c>
      <c r="D20" s="4">
        <v>13957</v>
      </c>
      <c r="E20" s="4">
        <v>14798</v>
      </c>
      <c r="F20" s="4">
        <v>13284</v>
      </c>
      <c r="G20" s="4">
        <v>11771</v>
      </c>
      <c r="H20" s="4">
        <v>13789</v>
      </c>
      <c r="I20" s="4">
        <v>14125</v>
      </c>
      <c r="J20" s="4">
        <v>14966</v>
      </c>
      <c r="K20" s="4">
        <v>14461</v>
      </c>
      <c r="L20" s="4">
        <v>14798</v>
      </c>
      <c r="M20" s="4">
        <v>14292</v>
      </c>
      <c r="N20" s="4">
        <v>14159</v>
      </c>
      <c r="O20" s="4">
        <v>14858</v>
      </c>
      <c r="P20" s="4">
        <v>14508</v>
      </c>
      <c r="Q20" s="4">
        <v>15382</v>
      </c>
      <c r="R20" s="4">
        <v>13809</v>
      </c>
      <c r="S20" s="4">
        <v>12236</v>
      </c>
      <c r="T20" s="4">
        <v>14334</v>
      </c>
      <c r="U20" s="4">
        <v>14683</v>
      </c>
      <c r="V20" s="4">
        <v>15557</v>
      </c>
      <c r="W20" s="4">
        <v>15033</v>
      </c>
      <c r="X20" s="4">
        <v>15382</v>
      </c>
      <c r="Y20" s="4">
        <v>14859</v>
      </c>
      <c r="Z20" s="18">
        <f>SUM(B20:M20)</f>
        <v>168154</v>
      </c>
      <c r="AA20" s="18">
        <f>SUM(N20:Y20)</f>
        <v>174800</v>
      </c>
    </row>
    <row r="21" spans="1:27">
      <c r="A21" s="10" t="s">
        <v>116</v>
      </c>
      <c r="B21" s="4">
        <v>10040</v>
      </c>
      <c r="C21" s="4">
        <v>10536</v>
      </c>
      <c r="D21" s="4">
        <v>10288</v>
      </c>
      <c r="E21" s="4">
        <v>10908</v>
      </c>
      <c r="F21" s="4">
        <v>9792</v>
      </c>
      <c r="G21" s="4">
        <v>8677</v>
      </c>
      <c r="H21" s="4">
        <v>10164</v>
      </c>
      <c r="I21" s="4">
        <v>10412</v>
      </c>
      <c r="J21" s="4">
        <v>11032</v>
      </c>
      <c r="K21" s="4">
        <v>10660</v>
      </c>
      <c r="L21" s="4">
        <v>10908</v>
      </c>
      <c r="M21" s="4">
        <v>10534</v>
      </c>
      <c r="N21" s="4">
        <v>10437</v>
      </c>
      <c r="O21" s="4">
        <v>10952</v>
      </c>
      <c r="P21" s="4">
        <v>10695</v>
      </c>
      <c r="Q21" s="4">
        <v>11339</v>
      </c>
      <c r="R21" s="4">
        <v>10179</v>
      </c>
      <c r="S21" s="4">
        <v>9020</v>
      </c>
      <c r="T21" s="4">
        <v>10566</v>
      </c>
      <c r="U21" s="4">
        <v>10823</v>
      </c>
      <c r="V21" s="4">
        <v>11468</v>
      </c>
      <c r="W21" s="4">
        <v>11081</v>
      </c>
      <c r="X21" s="4">
        <v>11339</v>
      </c>
      <c r="Y21" s="4">
        <v>10951</v>
      </c>
      <c r="Z21" s="18">
        <f>SUM(B21:M21)</f>
        <v>123951</v>
      </c>
      <c r="AA21" s="18">
        <f>SUM(N21:Y21)</f>
        <v>128850</v>
      </c>
    </row>
    <row r="22" spans="1:27">
      <c r="A22" s="10" t="s">
        <v>117</v>
      </c>
      <c r="B22" s="4">
        <v>9752</v>
      </c>
      <c r="C22" s="4">
        <v>10234</v>
      </c>
      <c r="D22" s="4">
        <v>9993</v>
      </c>
      <c r="E22" s="4">
        <v>10595</v>
      </c>
      <c r="F22" s="4">
        <v>9511</v>
      </c>
      <c r="G22" s="4">
        <v>8428</v>
      </c>
      <c r="H22" s="4">
        <v>9873</v>
      </c>
      <c r="I22" s="4">
        <v>10113</v>
      </c>
      <c r="J22" s="4">
        <v>10715</v>
      </c>
      <c r="K22" s="4">
        <v>10354</v>
      </c>
      <c r="L22" s="4">
        <v>10595</v>
      </c>
      <c r="M22" s="4">
        <v>10235</v>
      </c>
      <c r="N22" s="4">
        <v>10138</v>
      </c>
      <c r="O22" s="4">
        <v>10638</v>
      </c>
      <c r="P22" s="4">
        <v>10388</v>
      </c>
      <c r="Q22" s="4">
        <v>11014</v>
      </c>
      <c r="R22" s="4">
        <v>9887</v>
      </c>
      <c r="S22" s="4">
        <v>8761</v>
      </c>
      <c r="T22" s="4">
        <v>10263</v>
      </c>
      <c r="U22" s="4">
        <v>10513</v>
      </c>
      <c r="V22" s="4">
        <v>11139</v>
      </c>
      <c r="W22" s="4">
        <v>10764</v>
      </c>
      <c r="X22" s="4">
        <v>11014</v>
      </c>
      <c r="Y22" s="4">
        <v>10638</v>
      </c>
      <c r="Z22" s="18">
        <f>SUM(B22:M22)</f>
        <v>120398</v>
      </c>
      <c r="AA22" s="18">
        <f>SUM(N22:Y22)</f>
        <v>125157</v>
      </c>
    </row>
    <row r="23" spans="1:27">
      <c r="A23" s="10" t="s">
        <v>118</v>
      </c>
      <c r="B23" s="4">
        <v>4535</v>
      </c>
      <c r="C23" s="4">
        <v>4759</v>
      </c>
      <c r="D23" s="4">
        <v>4647</v>
      </c>
      <c r="E23" s="4">
        <v>4927</v>
      </c>
      <c r="F23" s="4">
        <v>4423</v>
      </c>
      <c r="G23" s="4">
        <v>3919</v>
      </c>
      <c r="H23" s="4">
        <v>4591</v>
      </c>
      <c r="I23" s="4">
        <v>4703</v>
      </c>
      <c r="J23" s="4">
        <v>4983</v>
      </c>
      <c r="K23" s="4">
        <v>4815</v>
      </c>
      <c r="L23" s="4">
        <v>4927</v>
      </c>
      <c r="M23" s="4">
        <v>4758</v>
      </c>
      <c r="N23" s="4">
        <v>4714</v>
      </c>
      <c r="O23" s="4">
        <v>4947</v>
      </c>
      <c r="P23" s="4">
        <v>4831</v>
      </c>
      <c r="Q23" s="4">
        <v>5122</v>
      </c>
      <c r="R23" s="4">
        <v>4598</v>
      </c>
      <c r="S23" s="4">
        <v>4074</v>
      </c>
      <c r="T23" s="4">
        <v>4772</v>
      </c>
      <c r="U23" s="4">
        <v>4889</v>
      </c>
      <c r="V23" s="4">
        <v>5180</v>
      </c>
      <c r="W23" s="4">
        <v>5005</v>
      </c>
      <c r="X23" s="4">
        <v>5122</v>
      </c>
      <c r="Y23" s="4">
        <v>4946</v>
      </c>
      <c r="Z23" s="18">
        <f>SUM(B23:M23)</f>
        <v>55987</v>
      </c>
      <c r="AA23" s="18">
        <f>SUM(N23:Y23)</f>
        <v>58200</v>
      </c>
    </row>
    <row r="24" spans="1:27">
      <c r="A24" s="10" t="s">
        <v>62</v>
      </c>
      <c r="B24" s="4">
        <v>1668</v>
      </c>
      <c r="C24" s="4">
        <v>1750</v>
      </c>
      <c r="D24" s="4">
        <v>1709</v>
      </c>
      <c r="E24" s="4">
        <v>1812</v>
      </c>
      <c r="F24" s="4">
        <v>1626</v>
      </c>
      <c r="G24" s="4">
        <v>1441</v>
      </c>
      <c r="H24" s="4">
        <v>1688</v>
      </c>
      <c r="I24" s="4">
        <v>1729</v>
      </c>
      <c r="J24" s="4">
        <v>1832</v>
      </c>
      <c r="K24" s="4">
        <v>1770</v>
      </c>
      <c r="L24" s="4">
        <v>1812</v>
      </c>
      <c r="M24" s="4">
        <v>1750</v>
      </c>
      <c r="N24" s="4">
        <v>1733</v>
      </c>
      <c r="O24" s="4">
        <v>1819</v>
      </c>
      <c r="P24" s="4">
        <v>1776</v>
      </c>
      <c r="Q24" s="4">
        <v>1883</v>
      </c>
      <c r="R24" s="4">
        <v>1691</v>
      </c>
      <c r="S24" s="4">
        <v>1498</v>
      </c>
      <c r="T24" s="4">
        <v>1755</v>
      </c>
      <c r="U24" s="4">
        <v>1798</v>
      </c>
      <c r="V24" s="4">
        <v>1905</v>
      </c>
      <c r="W24" s="4">
        <v>1840</v>
      </c>
      <c r="X24" s="4">
        <v>1883</v>
      </c>
      <c r="Y24" s="4">
        <v>1819</v>
      </c>
      <c r="Z24" s="18">
        <f>SUM(B24:M24)</f>
        <v>20587</v>
      </c>
      <c r="AA24" s="18">
        <f>SUM(N24:Y24)</f>
        <v>21400</v>
      </c>
    </row>
    <row r="25" spans="1:27">
      <c r="A25" s="2" t="s">
        <v>119</v>
      </c>
      <c r="B25" s="6">
        <f>SUM(B18:B24)</f>
        <v>141466</v>
      </c>
      <c r="C25" s="6">
        <f>SUM(C18:C24)</f>
        <v>148453</v>
      </c>
      <c r="D25" s="6">
        <f>SUM(D18:D24)</f>
        <v>144959</v>
      </c>
      <c r="E25" s="6">
        <f>SUM(E18:E24)</f>
        <v>153693</v>
      </c>
      <c r="F25" s="6">
        <f>SUM(F18:F24)</f>
        <v>137972</v>
      </c>
      <c r="G25" s="6">
        <f>SUM(G18:G24)</f>
        <v>122256</v>
      </c>
      <c r="H25" s="6">
        <f>SUM(H18:H24)</f>
        <v>143214</v>
      </c>
      <c r="I25" s="6">
        <f>SUM(I18:I24)</f>
        <v>146705</v>
      </c>
      <c r="J25" s="6">
        <f>SUM(J18:J24)</f>
        <v>155438</v>
      </c>
      <c r="K25" s="6">
        <f>SUM(K18:K24)</f>
        <v>150198</v>
      </c>
      <c r="L25" s="6">
        <f>SUM(L18:L24)</f>
        <v>153693</v>
      </c>
      <c r="M25" s="6">
        <f>SUM(M18:M24)</f>
        <v>148451</v>
      </c>
      <c r="N25" s="6">
        <f>SUM(N18:N24)</f>
        <v>147057</v>
      </c>
      <c r="O25" s="6">
        <f>SUM(O18:O24)</f>
        <v>154320</v>
      </c>
      <c r="P25" s="6">
        <f>SUM(P18:P24)</f>
        <v>150689</v>
      </c>
      <c r="Q25" s="6">
        <f>SUM(Q18:Q24)</f>
        <v>159767</v>
      </c>
      <c r="R25" s="6">
        <f>SUM(R18:R24)</f>
        <v>143427</v>
      </c>
      <c r="S25" s="6">
        <f>SUM(S18:S24)</f>
        <v>127087</v>
      </c>
      <c r="T25" s="6">
        <f>SUM(T18:T24)</f>
        <v>148874</v>
      </c>
      <c r="U25" s="6">
        <f>SUM(U18:U24)</f>
        <v>152504</v>
      </c>
      <c r="V25" s="6">
        <f>SUM(V18:V24)</f>
        <v>161582</v>
      </c>
      <c r="W25" s="6">
        <f>SUM(W18:W24)</f>
        <v>156135</v>
      </c>
      <c r="X25" s="6">
        <f>SUM(X18:X24)</f>
        <v>159767</v>
      </c>
      <c r="Y25" s="6">
        <f>SUM(Y18:Y24)</f>
        <v>154318</v>
      </c>
      <c r="Z25" s="18">
        <f>SUM(B25:M25)</f>
        <v>1746498</v>
      </c>
      <c r="AA25" s="18">
        <f>SUM(N25:Y25)</f>
        <v>1815527</v>
      </c>
    </row>
    <row r="26" spans="1:27">
      <c r="A26" s="13" t="s">
        <v>120</v>
      </c>
      <c r="B26" s="6">
        <f>B16-B25</f>
        <v>4961</v>
      </c>
      <c r="C26" s="6">
        <f>C16-C25</f>
        <v>5205</v>
      </c>
      <c r="D26" s="6">
        <f>D16-D25</f>
        <v>5083</v>
      </c>
      <c r="E26" s="6">
        <f>E16-E25</f>
        <v>5388</v>
      </c>
      <c r="F26" s="6">
        <f>F16-F25</f>
        <v>4839</v>
      </c>
      <c r="G26" s="6">
        <f>G16-G25</f>
        <v>4285</v>
      </c>
      <c r="H26" s="6">
        <f>H16-H25</f>
        <v>5020</v>
      </c>
      <c r="I26" s="6">
        <f>I16-I25</f>
        <v>5145</v>
      </c>
      <c r="J26" s="6">
        <f>J16-J25</f>
        <v>5450</v>
      </c>
      <c r="K26" s="6">
        <f>K16-K25</f>
        <v>5267</v>
      </c>
      <c r="L26" s="6">
        <f>L16-L25</f>
        <v>5388</v>
      </c>
      <c r="M26" s="6">
        <f>M16-M25</f>
        <v>5209</v>
      </c>
      <c r="N26" s="6">
        <f>N16-N25</f>
        <v>3088</v>
      </c>
      <c r="O26" s="6">
        <f>O16-O25</f>
        <v>3239</v>
      </c>
      <c r="P26" s="6">
        <f>P16-P25</f>
        <v>3163</v>
      </c>
      <c r="Q26" s="6">
        <f>Q16-Q25</f>
        <v>3353</v>
      </c>
      <c r="R26" s="6">
        <f>R16-R25</f>
        <v>3011</v>
      </c>
      <c r="S26" s="6">
        <f>S16-S25</f>
        <v>2667</v>
      </c>
      <c r="T26" s="6">
        <f>T16-T25</f>
        <v>3125</v>
      </c>
      <c r="U26" s="6">
        <f>U16-U25</f>
        <v>3202</v>
      </c>
      <c r="V26" s="6">
        <f>V16-V25</f>
        <v>3392</v>
      </c>
      <c r="W26" s="6">
        <f>W16-W25</f>
        <v>3278</v>
      </c>
      <c r="X26" s="6">
        <f>X16-X25</f>
        <v>3353</v>
      </c>
      <c r="Y26" s="6">
        <f>Y16-Y25</f>
        <v>3244</v>
      </c>
      <c r="Z26" s="14">
        <f>SUM(B26:M26)</f>
        <v>61240</v>
      </c>
      <c r="AA26" s="14">
        <f>SUM(N26:Y26)</f>
        <v>38115</v>
      </c>
    </row>
    <row r="27" spans="1:27">
      <c r="A27" s="10" t="s">
        <v>121</v>
      </c>
      <c r="B27" s="4">
        <v>4860</v>
      </c>
      <c r="C27" s="4">
        <v>5100</v>
      </c>
      <c r="D27" s="4">
        <v>4980</v>
      </c>
      <c r="E27" s="4">
        <v>5280</v>
      </c>
      <c r="F27" s="4">
        <v>4740</v>
      </c>
      <c r="G27" s="4">
        <v>4200</v>
      </c>
      <c r="H27" s="4">
        <v>4920</v>
      </c>
      <c r="I27" s="4">
        <v>5040</v>
      </c>
      <c r="J27" s="4">
        <v>5340</v>
      </c>
      <c r="K27" s="4">
        <v>5160</v>
      </c>
      <c r="L27" s="4">
        <v>5280</v>
      </c>
      <c r="M27" s="4">
        <v>5100</v>
      </c>
      <c r="N27" s="4">
        <v>5111</v>
      </c>
      <c r="O27" s="4">
        <v>5364</v>
      </c>
      <c r="P27" s="4">
        <v>5237</v>
      </c>
      <c r="Q27" s="4">
        <v>5553</v>
      </c>
      <c r="R27" s="4">
        <v>4985</v>
      </c>
      <c r="S27" s="4">
        <v>4417</v>
      </c>
      <c r="T27" s="4">
        <v>5174</v>
      </c>
      <c r="U27" s="4">
        <v>5300</v>
      </c>
      <c r="V27" s="4">
        <v>5616</v>
      </c>
      <c r="W27" s="4">
        <v>5427</v>
      </c>
      <c r="X27" s="4">
        <v>5553</v>
      </c>
      <c r="Y27" s="4">
        <v>5363</v>
      </c>
      <c r="Z27" s="18">
        <f>SUM(B27:M27)</f>
        <v>60000</v>
      </c>
      <c r="AA27" s="18">
        <f>SUM(N27:Y27)</f>
        <v>63100</v>
      </c>
    </row>
    <row r="28" spans="1:27">
      <c r="A28" s="10" t="s">
        <v>122</v>
      </c>
      <c r="B28" s="4">
        <v>113</v>
      </c>
      <c r="C28" s="4">
        <v>119</v>
      </c>
      <c r="D28" s="4">
        <v>116</v>
      </c>
      <c r="E28" s="4">
        <v>123</v>
      </c>
      <c r="F28" s="4">
        <v>111</v>
      </c>
      <c r="G28" s="4">
        <v>98</v>
      </c>
      <c r="H28" s="4">
        <v>115</v>
      </c>
      <c r="I28" s="4">
        <v>118</v>
      </c>
      <c r="J28" s="4">
        <v>125</v>
      </c>
      <c r="K28" s="4">
        <v>120</v>
      </c>
      <c r="L28" s="4">
        <v>123</v>
      </c>
      <c r="M28" s="4">
        <v>119</v>
      </c>
      <c r="N28" s="4">
        <v>126</v>
      </c>
      <c r="O28" s="4">
        <v>133</v>
      </c>
      <c r="P28" s="4">
        <v>129</v>
      </c>
      <c r="Q28" s="4">
        <v>137</v>
      </c>
      <c r="R28" s="4">
        <v>123</v>
      </c>
      <c r="S28" s="4">
        <v>109</v>
      </c>
      <c r="T28" s="4">
        <v>128</v>
      </c>
      <c r="U28" s="4">
        <v>131</v>
      </c>
      <c r="V28" s="4">
        <v>139</v>
      </c>
      <c r="W28" s="4">
        <v>134</v>
      </c>
      <c r="X28" s="4">
        <v>137</v>
      </c>
      <c r="Y28" s="4">
        <v>134</v>
      </c>
      <c r="Z28" s="18">
        <f>SUM(B28:M28)</f>
        <v>1400</v>
      </c>
      <c r="AA28" s="18">
        <f>SUM(N28:Y28)</f>
        <v>1560</v>
      </c>
    </row>
    <row r="29" spans="1:27">
      <c r="A29" s="10" t="s">
        <v>123</v>
      </c>
      <c r="B29" s="4">
        <v>243</v>
      </c>
      <c r="C29" s="4">
        <v>255</v>
      </c>
      <c r="D29" s="4">
        <v>249</v>
      </c>
      <c r="E29" s="4">
        <v>264</v>
      </c>
      <c r="F29" s="4">
        <v>237</v>
      </c>
      <c r="G29" s="4">
        <v>210</v>
      </c>
      <c r="H29" s="4">
        <v>246</v>
      </c>
      <c r="I29" s="4">
        <v>252</v>
      </c>
      <c r="J29" s="4">
        <v>267</v>
      </c>
      <c r="K29" s="4">
        <v>258</v>
      </c>
      <c r="L29" s="4">
        <v>264</v>
      </c>
      <c r="M29" s="4">
        <v>255</v>
      </c>
      <c r="N29" s="4">
        <v>202</v>
      </c>
      <c r="O29" s="4">
        <v>213</v>
      </c>
      <c r="P29" s="4">
        <v>208</v>
      </c>
      <c r="Q29" s="4">
        <v>220</v>
      </c>
      <c r="R29" s="4">
        <v>198</v>
      </c>
      <c r="S29" s="4">
        <v>175</v>
      </c>
      <c r="T29" s="4">
        <v>205</v>
      </c>
      <c r="U29" s="4">
        <v>210</v>
      </c>
      <c r="V29" s="4">
        <v>222</v>
      </c>
      <c r="W29" s="4">
        <v>215</v>
      </c>
      <c r="X29" s="4">
        <v>220</v>
      </c>
      <c r="Y29" s="4">
        <v>212</v>
      </c>
      <c r="Z29" s="18">
        <f>SUM(B29:M29)</f>
        <v>3000</v>
      </c>
      <c r="AA29" s="18">
        <f>SUM(N29:Y29)</f>
        <v>2500</v>
      </c>
    </row>
    <row r="30" spans="1:27">
      <c r="A30" s="2" t="s">
        <v>124</v>
      </c>
      <c r="B30" s="6">
        <f>B16-B25-B27-B28+B29</f>
        <v>231</v>
      </c>
      <c r="C30" s="6">
        <f>C16-C25-C27-C28+C29</f>
        <v>241</v>
      </c>
      <c r="D30" s="6">
        <f>D16-D25-D27-D28+D29</f>
        <v>236</v>
      </c>
      <c r="E30" s="6">
        <f>E16-E25-E27-E28+E29</f>
        <v>249</v>
      </c>
      <c r="F30" s="6">
        <f>F16-F25-F27-F28+F29</f>
        <v>225</v>
      </c>
      <c r="G30" s="6">
        <f>G16-G25-G27-G28+G29</f>
        <v>197</v>
      </c>
      <c r="H30" s="6">
        <f>H16-H25-H27-H28+H29</f>
        <v>231</v>
      </c>
      <c r="I30" s="6">
        <f>I16-I25-I27-I28+I29</f>
        <v>239</v>
      </c>
      <c r="J30" s="6">
        <f>J16-J25-J27-J28+J29</f>
        <v>252</v>
      </c>
      <c r="K30" s="6">
        <f>K16-K25-K27-K28+K29</f>
        <v>245</v>
      </c>
      <c r="L30" s="6">
        <f>L16-L25-L27-L28+L29</f>
        <v>249</v>
      </c>
      <c r="M30" s="6">
        <f>M16-M25-M27-M28+M29</f>
        <v>245</v>
      </c>
      <c r="N30" s="6">
        <f>N16-N25-N27-N28+N29</f>
        <v>-1947</v>
      </c>
      <c r="O30" s="6">
        <f>O16-O25-O27-O28+O29</f>
        <v>-2045</v>
      </c>
      <c r="P30" s="6">
        <f>P16-P25-P27-P28+P29</f>
        <v>-1995</v>
      </c>
      <c r="Q30" s="6">
        <f>Q16-Q25-Q27-Q28+Q29</f>
        <v>-2117</v>
      </c>
      <c r="R30" s="6">
        <f>R16-R25-R27-R28+R29</f>
        <v>-1899</v>
      </c>
      <c r="S30" s="6">
        <f>S16-S25-S27-S28+S29</f>
        <v>-1684</v>
      </c>
      <c r="T30" s="6">
        <f>T16-T25-T27-T28+T29</f>
        <v>-1972</v>
      </c>
      <c r="U30" s="6">
        <f>U16-U25-U27-U28+U29</f>
        <v>-2019</v>
      </c>
      <c r="V30" s="6">
        <f>V16-V25-V27-V28+V29</f>
        <v>-2141</v>
      </c>
      <c r="W30" s="6">
        <f>W16-W25-W27-W28+W29</f>
        <v>-2068</v>
      </c>
      <c r="X30" s="6">
        <f>X16-X25-X27-X28+X29</f>
        <v>-2117</v>
      </c>
      <c r="Y30" s="6">
        <f>Y16-Y25-Y27-Y28+Y29</f>
        <v>-2041</v>
      </c>
      <c r="Z30" s="18">
        <f>SUM(B30:M30)</f>
        <v>2840</v>
      </c>
      <c r="AA30" s="18">
        <f>SUM(N30:Y30)</f>
        <v>-24045</v>
      </c>
    </row>
  </sheetData>
  <mergeCells count="1">
    <mergeCell ref="A1:AA1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Normal="100" workbookViewId="0"/>
  </sheetViews>
  <sheetFormatPr defaultColWidth="8.7109375" defaultRowHeight="15"/>
  <cols>
    <col min="1" max="1" width="40" customWidth="1"/>
  </cols>
  <sheetData>
    <row r="1" spans="1:6" ht="33.75" customHeight="1">
      <c r="A1" s="31" t="s">
        <v>75</v>
      </c>
      <c r="B1" s="31"/>
      <c r="C1" s="31"/>
      <c r="D1" s="31"/>
      <c r="E1" s="31"/>
      <c r="F1" s="31"/>
    </row>
    <row r="4" spans="1:6" ht="19.7">
      <c r="A4" s="19" t="s">
        <v>125</v>
      </c>
    </row>
    <row r="6" spans="1:6">
      <c r="A6" s="2" t="s">
        <v>126</v>
      </c>
    </row>
    <row r="7" spans="1:6">
      <c r="A7" s="20" t="str">
        <f>DASH_FEED!B4</f>
        <v>Meadowbrook Animal Hospital</v>
      </c>
    </row>
    <row r="8" spans="1:6">
      <c r="A8" s="21" t="str">
        <f>DASH_FEED!B8</f>
        <v>Franklin, Tennessee</v>
      </c>
    </row>
    <row r="10" spans="1:6">
      <c r="A10" s="2" t="s">
        <v>127</v>
      </c>
    </row>
    <row r="11" spans="1:6">
      <c r="A11" s="21" t="str">
        <f>""&amp;DASH_FEED!B5&amp;"  and  "&amp;DASH_FEED!B6</f>
        <v>TTM Jun-25  and  TTM Jun-26</v>
      </c>
    </row>
    <row r="13" spans="1:6">
      <c r="A13" s="10" t="s">
        <v>128</v>
      </c>
    </row>
    <row r="14" spans="1:6">
      <c r="A14" s="16" t="s">
        <v>129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4"/>
  <sheetViews>
    <sheetView zoomScaleNormal="100" workbookViewId="0"/>
  </sheetViews>
  <sheetFormatPr defaultColWidth="8.7109375" defaultRowHeight="15"/>
  <cols>
    <col min="1" max="1" width="95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130</v>
      </c>
    </row>
    <row r="3" spans="1:6">
      <c r="A3" s="16" t="s">
        <v>131</v>
      </c>
    </row>
    <row r="5" spans="1:6">
      <c r="A5" s="2" t="str">
        <f>"Re: "&amp;DASH_FEED!B4</f>
        <v>Re: Meadowbrook Animal Hospital</v>
      </c>
    </row>
    <row r="7" spans="1:6">
      <c r="A7" s="10" t="s">
        <v>132</v>
      </c>
    </row>
    <row r="8" spans="1:6">
      <c r="A8" s="10" t="s">
        <v>133</v>
      </c>
    </row>
    <row r="9" spans="1:6">
      <c r="A9" s="10" t="s">
        <v>134</v>
      </c>
    </row>
    <row r="10" spans="1:6">
      <c r="A10" s="10"/>
    </row>
    <row r="11" spans="1:6">
      <c r="A11" s="10" t="s">
        <v>135</v>
      </c>
    </row>
    <row r="14" spans="1:6">
      <c r="A14" s="10" t="s">
        <v>136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10"/>
  <sheetViews>
    <sheetView zoomScaleNormal="100" workbookViewId="0"/>
  </sheetViews>
  <sheetFormatPr defaultColWidth="8.7109375" defaultRowHeight="15"/>
  <cols>
    <col min="1" max="1" width="30" customWidth="1"/>
    <col min="2" max="3" width="16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137</v>
      </c>
    </row>
    <row r="3" spans="1:6">
      <c r="A3" s="16" t="s">
        <v>131</v>
      </c>
    </row>
    <row r="5" spans="1:6">
      <c r="A5" s="9" t="s">
        <v>138</v>
      </c>
      <c r="B5" s="9" t="str">
        <f>DASH_FEED!B5</f>
        <v>TTM Jun-25</v>
      </c>
      <c r="C5" s="9" t="str">
        <f>DASH_FEED!B6</f>
        <v>TTM Jun-26</v>
      </c>
    </row>
    <row r="6" spans="1:6">
      <c r="A6" s="10" t="s">
        <v>103</v>
      </c>
      <c r="B6" s="5">
        <f>DASH_FEED!B11</f>
        <v>2410318</v>
      </c>
      <c r="C6" s="5">
        <f>DASH_FEED!B12</f>
        <v>2504921</v>
      </c>
    </row>
    <row r="7" spans="1:6">
      <c r="A7" s="10" t="s">
        <v>42</v>
      </c>
      <c r="B7" s="5">
        <f>DASH_FEED!B15</f>
        <v>255490</v>
      </c>
      <c r="C7" s="5">
        <f>DASH_FEED!B16</f>
        <v>249035</v>
      </c>
    </row>
    <row r="8" spans="1:6">
      <c r="A8" s="10" t="s">
        <v>139</v>
      </c>
      <c r="B8" s="22">
        <f>DASH_FEED!B17</f>
        <v>0.10599846161377877</v>
      </c>
      <c r="C8" s="22">
        <f>DASH_FEED!B18</f>
        <v>9.9418305008421429E-2</v>
      </c>
    </row>
    <row r="9" spans="1:6">
      <c r="A9" s="10" t="s">
        <v>140</v>
      </c>
      <c r="B9" s="5">
        <f>DASH_FEED!B7</f>
        <v>3750000</v>
      </c>
      <c r="C9" s="5">
        <f>DASH_FEED!B7</f>
        <v>3750000</v>
      </c>
    </row>
    <row r="10" spans="1:6">
      <c r="A10" s="10" t="s">
        <v>141</v>
      </c>
      <c r="C10" s="23">
        <f>DASH_FEED!B19</f>
        <v>15.058124360029714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9"/>
  <sheetViews>
    <sheetView zoomScaleNormal="100" workbookViewId="0"/>
  </sheetViews>
  <sheetFormatPr defaultColWidth="8.7109375" defaultRowHeight="15"/>
  <cols>
    <col min="1" max="1" width="20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142</v>
      </c>
    </row>
    <row r="3" spans="1:6">
      <c r="A3" s="16" t="s">
        <v>131</v>
      </c>
    </row>
    <row r="5" spans="1:6" ht="30" customHeight="1">
      <c r="A5" s="1" t="str">
        <f>DASH_FEED!A61</f>
        <v>• Dr. Alicia Monroe (owner) transitions to 21% of production post-close; comp normalized in Adjustment B.</v>
      </c>
      <c r="B5" s="1"/>
      <c r="C5" s="1"/>
      <c r="D5" s="1"/>
      <c r="E5" s="1"/>
      <c r="F5" s="1"/>
    </row>
    <row r="6" spans="1:6" ht="30" customHeight="1">
      <c r="A6" s="1" t="str">
        <f>DASH_FEED!A62</f>
        <v>• Gross margin declined ~2.1% Jun-25 to Jun-26, driven by vendor price increases and higher relief-vet usage.</v>
      </c>
      <c r="B6" s="1"/>
      <c r="C6" s="1"/>
      <c r="D6" s="1"/>
      <c r="E6" s="1"/>
      <c r="F6" s="1"/>
    </row>
    <row r="7" spans="1:6" ht="30" customHeight="1">
      <c r="A7" s="1" t="str">
        <f>DASH_FEED!A63</f>
        <v>• Buyer valuation revised: FY25 Adjusted EBITDA moved from $300K to $235K after a ~$85K revenue reclassification.</v>
      </c>
      <c r="B7" s="1"/>
      <c r="C7" s="1"/>
      <c r="D7" s="1"/>
      <c r="E7" s="1"/>
      <c r="F7" s="1"/>
    </row>
    <row r="8" spans="1:6" ht="30" customHeight="1">
      <c r="A8" s="1" t="str">
        <f>DASH_FEED!A64</f>
        <v>• Cash proof analysis for the twelve months ended Jun-26 nets to a $0 variance.</v>
      </c>
      <c r="B8" s="1"/>
      <c r="C8" s="1"/>
      <c r="D8" s="1"/>
      <c r="E8" s="1"/>
      <c r="F8" s="1"/>
    </row>
    <row r="9" spans="1:6" ht="30" customHeight="1">
      <c r="A9" s="1" t="str">
        <f>DASH_FEED!A65</f>
        <v>• Practice offers health and dental; go-forward buyer adds vision and a 2% 401(k) match.</v>
      </c>
      <c r="B9" s="1"/>
      <c r="C9" s="1"/>
      <c r="D9" s="1"/>
      <c r="E9" s="1"/>
      <c r="F9" s="1"/>
    </row>
  </sheetData>
  <mergeCells count="6">
    <mergeCell ref="A9:F9"/>
    <mergeCell ref="A1:F1"/>
    <mergeCell ref="A5:F5"/>
    <mergeCell ref="A6:F6"/>
    <mergeCell ref="A7:F7"/>
    <mergeCell ref="A8:F8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F15"/>
  <sheetViews>
    <sheetView zoomScaleNormal="100" workbookViewId="0"/>
  </sheetViews>
  <sheetFormatPr defaultColWidth="8.7109375" defaultRowHeight="15"/>
  <cols>
    <col min="1" max="1" width="30" customWidth="1"/>
    <col min="2" max="6" width="13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143</v>
      </c>
    </row>
    <row r="3" spans="1:6">
      <c r="A3" s="16" t="s">
        <v>131</v>
      </c>
    </row>
    <row r="5" spans="1:6">
      <c r="A5" s="9" t="s">
        <v>144</v>
      </c>
      <c r="B5" s="9" t="s">
        <v>145</v>
      </c>
      <c r="C5" s="9" t="s">
        <v>5</v>
      </c>
      <c r="D5" s="9" t="s">
        <v>146</v>
      </c>
      <c r="E5" s="9" t="s">
        <v>7</v>
      </c>
      <c r="F5" s="9" t="s">
        <v>146</v>
      </c>
    </row>
    <row r="6" spans="1:6">
      <c r="A6" s="10" t="s">
        <v>26</v>
      </c>
      <c r="B6" s="11"/>
      <c r="C6" s="5">
        <f>DASH_FEED!C24</f>
        <v>61240</v>
      </c>
      <c r="D6" s="7">
        <f>C6/DASH_FEED!B11</f>
        <v>2.540743586530906E-2</v>
      </c>
      <c r="E6" s="5">
        <f>DASH_FEED!D24</f>
        <v>38115</v>
      </c>
      <c r="F6" s="7">
        <f>E6/DASH_FEED!B12</f>
        <v>1.5216048729680498E-2</v>
      </c>
    </row>
    <row r="7" spans="1:6">
      <c r="A7" s="10" t="s">
        <v>27</v>
      </c>
      <c r="B7" s="11" t="s">
        <v>28</v>
      </c>
      <c r="C7" s="5">
        <f>DASH_FEED!C25</f>
        <v>38900</v>
      </c>
      <c r="D7" s="7">
        <f>C7/DASH_FEED!B11</f>
        <v>1.6138949300465749E-2</v>
      </c>
      <c r="E7" s="5">
        <f>DASH_FEED!D25</f>
        <v>42350</v>
      </c>
      <c r="F7" s="7">
        <f>E7/DASH_FEED!B12</f>
        <v>1.6906720810756108E-2</v>
      </c>
    </row>
    <row r="8" spans="1:6">
      <c r="A8" s="10" t="s">
        <v>29</v>
      </c>
      <c r="B8" s="11" t="s">
        <v>30</v>
      </c>
      <c r="C8" s="5">
        <f>DASH_FEED!C26</f>
        <v>152300</v>
      </c>
      <c r="D8" s="7">
        <f>C8/DASH_FEED!B11</f>
        <v>6.3186683250923734E-2</v>
      </c>
      <c r="E8" s="5">
        <f>DASH_FEED!D26</f>
        <v>168420</v>
      </c>
      <c r="F8" s="7">
        <f>E8/DASH_FEED!B12</f>
        <v>6.7235653339965618E-2</v>
      </c>
    </row>
    <row r="9" spans="1:6">
      <c r="A9" s="10" t="s">
        <v>31</v>
      </c>
      <c r="B9" s="11" t="s">
        <v>32</v>
      </c>
      <c r="C9" s="5">
        <f>DASH_FEED!C27</f>
        <v>-4200</v>
      </c>
      <c r="D9" s="7">
        <f>C9/DASH_FEED!B11</f>
        <v>-1.7425086648317773E-3</v>
      </c>
      <c r="E9" s="5">
        <f>DASH_FEED!D27</f>
        <v>-3850</v>
      </c>
      <c r="F9" s="7">
        <f>E9/DASH_FEED!B12</f>
        <v>-1.5369746191596461E-3</v>
      </c>
    </row>
    <row r="10" spans="1:6">
      <c r="A10" s="10" t="s">
        <v>33</v>
      </c>
      <c r="B10" s="11" t="s">
        <v>34</v>
      </c>
      <c r="C10" s="5">
        <f>DASH_FEED!C28</f>
        <v>-18600</v>
      </c>
      <c r="D10" s="7">
        <f>C10/DASH_FEED!B11</f>
        <v>-7.7168240871121566E-3</v>
      </c>
      <c r="E10" s="5">
        <f>DASH_FEED!D28</f>
        <v>-6200</v>
      </c>
      <c r="F10" s="7">
        <f>E10/DASH_FEED!B12</f>
        <v>-2.4751279581272222E-3</v>
      </c>
    </row>
    <row r="11" spans="1:6">
      <c r="A11" s="10" t="s">
        <v>35</v>
      </c>
      <c r="B11" s="11" t="s">
        <v>36</v>
      </c>
      <c r="C11" s="5">
        <f>DASH_FEED!C29</f>
        <v>7450</v>
      </c>
      <c r="D11" s="7">
        <f>C11/DASH_FEED!B11</f>
        <v>3.090878464999224E-3</v>
      </c>
      <c r="E11" s="5">
        <f>DASH_FEED!D29</f>
        <v>8100</v>
      </c>
      <c r="F11" s="7">
        <f>E11/DASH_FEED!B12</f>
        <v>3.2336349130371775E-3</v>
      </c>
    </row>
    <row r="12" spans="1:6">
      <c r="A12" s="10" t="s">
        <v>37</v>
      </c>
      <c r="B12" s="11" t="s">
        <v>38</v>
      </c>
      <c r="C12" s="5">
        <f>DASH_FEED!C30</f>
        <v>5600</v>
      </c>
      <c r="D12" s="7">
        <f>C12/DASH_FEED!B11</f>
        <v>2.3233448864423698E-3</v>
      </c>
      <c r="E12" s="5">
        <f>DASH_FEED!D30</f>
        <v>2100</v>
      </c>
      <c r="F12" s="7">
        <f>E12/DASH_FEED!B12</f>
        <v>8.383497922688979E-4</v>
      </c>
    </row>
    <row r="13" spans="1:6">
      <c r="A13" s="10" t="s">
        <v>39</v>
      </c>
      <c r="B13" s="11" t="s">
        <v>40</v>
      </c>
      <c r="C13" s="5">
        <f>DASH_FEED!C31</f>
        <v>12800</v>
      </c>
      <c r="D13" s="7">
        <f>C13/DASH_FEED!B11</f>
        <v>5.3105025975825598E-3</v>
      </c>
      <c r="E13" s="5">
        <f>DASH_FEED!D31</f>
        <v>0</v>
      </c>
      <c r="F13" s="7">
        <f>E13/DASH_FEED!B12</f>
        <v>0</v>
      </c>
    </row>
    <row r="14" spans="1:6">
      <c r="A14" s="9" t="s">
        <v>41</v>
      </c>
      <c r="B14" s="11"/>
      <c r="C14" s="12">
        <f>DASH_FEED!C32</f>
        <v>100140</v>
      </c>
      <c r="D14" s="7">
        <f>C14/DASH_FEED!B11</f>
        <v>4.1546385165774809E-2</v>
      </c>
      <c r="E14" s="12">
        <f>DASH_FEED!D32</f>
        <v>80465</v>
      </c>
      <c r="F14" s="7">
        <f>E14/DASH_FEED!B12</f>
        <v>3.2122769540436608E-2</v>
      </c>
    </row>
    <row r="15" spans="1:6">
      <c r="A15" s="24" t="s">
        <v>42</v>
      </c>
      <c r="B15" s="11"/>
      <c r="C15" s="25">
        <f>DASH_FEED!C33</f>
        <v>255490</v>
      </c>
      <c r="D15" s="7">
        <f>C15/DASH_FEED!B11</f>
        <v>0.10599846161377877</v>
      </c>
      <c r="E15" s="25">
        <f>DASH_FEED!D33</f>
        <v>249035</v>
      </c>
      <c r="F15" s="7">
        <f>E15/DASH_FEED!B12</f>
        <v>9.9418305008421429E-2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17"/>
  <sheetViews>
    <sheetView zoomScaleNormal="100" workbookViewId="0"/>
  </sheetViews>
  <sheetFormatPr defaultColWidth="8.7109375" defaultRowHeight="15"/>
  <cols>
    <col min="1" max="1" width="30" customWidth="1"/>
    <col min="2" max="3" width="15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147</v>
      </c>
    </row>
    <row r="3" spans="1:6">
      <c r="A3" s="16" t="s">
        <v>131</v>
      </c>
    </row>
    <row r="5" spans="1:6">
      <c r="A5" s="9" t="s">
        <v>147</v>
      </c>
      <c r="B5" s="9" t="s">
        <v>5</v>
      </c>
      <c r="C5" s="9" t="s">
        <v>7</v>
      </c>
    </row>
    <row r="6" spans="1:6">
      <c r="A6" s="2" t="s">
        <v>103</v>
      </c>
      <c r="B6" s="5">
        <f>'Monthly IS'!Z9</f>
        <v>2410318</v>
      </c>
      <c r="C6" s="5">
        <f>'Monthly IS'!AA9</f>
        <v>2504921</v>
      </c>
    </row>
    <row r="7" spans="1:6">
      <c r="A7" s="10" t="s">
        <v>108</v>
      </c>
      <c r="B7" s="5">
        <f>'Monthly IS'!Z15</f>
        <v>602580</v>
      </c>
      <c r="C7" s="5">
        <f>'Monthly IS'!AA15</f>
        <v>651279</v>
      </c>
    </row>
    <row r="8" spans="1:6">
      <c r="A8" s="9" t="s">
        <v>114</v>
      </c>
      <c r="B8" s="26">
        <f>'Monthly IS'!Z16</f>
        <v>1807738</v>
      </c>
      <c r="C8" s="26">
        <f>'Monthly IS'!AA16</f>
        <v>1853642</v>
      </c>
    </row>
    <row r="9" spans="1:6">
      <c r="A9" s="10" t="s">
        <v>50</v>
      </c>
      <c r="B9" s="5">
        <f>'Monthly IS'!Z18</f>
        <v>679753</v>
      </c>
      <c r="C9" s="5">
        <f>'Monthly IS'!AA18</f>
        <v>706620</v>
      </c>
    </row>
    <row r="10" spans="1:6">
      <c r="A10" s="10" t="s">
        <v>52</v>
      </c>
      <c r="B10" s="5">
        <f>'Monthly IS'!Z19</f>
        <v>577668</v>
      </c>
      <c r="C10" s="5">
        <f>'Monthly IS'!AA19</f>
        <v>600500</v>
      </c>
    </row>
    <row r="11" spans="1:6">
      <c r="A11" s="10" t="s">
        <v>54</v>
      </c>
      <c r="B11" s="5">
        <f>'Monthly IS'!Z20</f>
        <v>168154</v>
      </c>
      <c r="C11" s="5">
        <f>'Monthly IS'!AA20</f>
        <v>174800</v>
      </c>
    </row>
    <row r="12" spans="1:6">
      <c r="A12" s="10" t="s">
        <v>116</v>
      </c>
      <c r="B12" s="5">
        <f>'Monthly IS'!Z21</f>
        <v>123951</v>
      </c>
      <c r="C12" s="5">
        <f>'Monthly IS'!AA21</f>
        <v>128850</v>
      </c>
    </row>
    <row r="13" spans="1:6">
      <c r="A13" s="10" t="s">
        <v>117</v>
      </c>
      <c r="B13" s="5">
        <f>'Monthly IS'!Z22</f>
        <v>120398</v>
      </c>
      <c r="C13" s="5">
        <f>'Monthly IS'!AA22</f>
        <v>125157</v>
      </c>
    </row>
    <row r="14" spans="1:6">
      <c r="A14" s="10" t="s">
        <v>118</v>
      </c>
      <c r="B14" s="5">
        <f>'Monthly IS'!Z23</f>
        <v>55987</v>
      </c>
      <c r="C14" s="5">
        <f>'Monthly IS'!AA23</f>
        <v>58200</v>
      </c>
    </row>
    <row r="15" spans="1:6">
      <c r="A15" s="10" t="s">
        <v>62</v>
      </c>
      <c r="B15" s="5">
        <f>'Monthly IS'!Z24</f>
        <v>20587</v>
      </c>
      <c r="C15" s="5">
        <f>'Monthly IS'!AA24</f>
        <v>21400</v>
      </c>
    </row>
    <row r="16" spans="1:6">
      <c r="A16" s="2" t="s">
        <v>119</v>
      </c>
      <c r="B16" s="5">
        <f>'Monthly IS'!Z25</f>
        <v>1746498</v>
      </c>
      <c r="C16" s="5">
        <f>'Monthly IS'!AA25</f>
        <v>1815527</v>
      </c>
    </row>
    <row r="17" spans="1:3">
      <c r="A17" s="9" t="s">
        <v>120</v>
      </c>
      <c r="B17" s="26">
        <f>'Monthly IS'!Z26</f>
        <v>61240</v>
      </c>
      <c r="C17" s="26">
        <f>'Monthly IS'!AA26</f>
        <v>38115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0"/>
  <sheetViews>
    <sheetView zoomScaleNormal="100" workbookViewId="0"/>
  </sheetViews>
  <sheetFormatPr defaultColWidth="8.7109375" defaultRowHeight="15"/>
  <cols>
    <col min="1" max="1" width="30" customWidth="1"/>
    <col min="2" max="3" width="16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148</v>
      </c>
    </row>
    <row r="3" spans="1:6">
      <c r="A3" s="16" t="s">
        <v>131</v>
      </c>
    </row>
    <row r="5" spans="1:6">
      <c r="A5" s="9" t="s">
        <v>138</v>
      </c>
      <c r="B5" s="9" t="s">
        <v>5</v>
      </c>
      <c r="C5" s="9" t="s">
        <v>7</v>
      </c>
    </row>
    <row r="6" spans="1:6">
      <c r="A6" s="10" t="s">
        <v>103</v>
      </c>
      <c r="B6" s="5">
        <f>DASH_FEED!B11</f>
        <v>2410318</v>
      </c>
      <c r="C6" s="5">
        <f>DASH_FEED!B12</f>
        <v>2504921</v>
      </c>
    </row>
    <row r="7" spans="1:6">
      <c r="A7" s="10" t="s">
        <v>108</v>
      </c>
      <c r="B7" s="5">
        <f>DASH_FEED!B13</f>
        <v>602580</v>
      </c>
      <c r="C7" s="5">
        <f>DASH_FEED!B14</f>
        <v>651279</v>
      </c>
    </row>
    <row r="8" spans="1:6">
      <c r="A8" s="2" t="s">
        <v>114</v>
      </c>
      <c r="B8" s="6">
        <f>B6-B7</f>
        <v>1807738</v>
      </c>
      <c r="C8" s="6">
        <f>C6-C7</f>
        <v>1853642</v>
      </c>
    </row>
    <row r="9" spans="1:6">
      <c r="A9" s="2" t="s">
        <v>42</v>
      </c>
      <c r="B9" s="5">
        <f>DASH_FEED!B15</f>
        <v>255490</v>
      </c>
      <c r="C9" s="5">
        <f>DASH_FEED!B16</f>
        <v>249035</v>
      </c>
    </row>
    <row r="10" spans="1:6">
      <c r="A10" s="2" t="s">
        <v>139</v>
      </c>
      <c r="B10" s="7">
        <f>B9/B6</f>
        <v>0.10599846161377877</v>
      </c>
      <c r="C10" s="7">
        <f>C9/C6</f>
        <v>9.9418305008421429E-2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13"/>
  <sheetViews>
    <sheetView zoomScaleNormal="100" workbookViewId="0"/>
  </sheetViews>
  <sheetFormatPr defaultColWidth="8.7109375" defaultRowHeight="15"/>
  <cols>
    <col min="1" max="1" width="26" customWidth="1"/>
    <col min="2" max="5" width="15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149</v>
      </c>
    </row>
    <row r="3" spans="1:6">
      <c r="A3" s="16" t="s">
        <v>150</v>
      </c>
    </row>
    <row r="5" spans="1:6">
      <c r="A5" s="9" t="s">
        <v>151</v>
      </c>
      <c r="B5" s="9" t="s">
        <v>152</v>
      </c>
      <c r="C5" s="9" t="s">
        <v>153</v>
      </c>
      <c r="D5" s="9" t="s">
        <v>154</v>
      </c>
      <c r="E5" s="9" t="s">
        <v>155</v>
      </c>
    </row>
    <row r="6" spans="1:6">
      <c r="A6" s="10" t="s">
        <v>50</v>
      </c>
      <c r="B6" s="5">
        <f>'Monthly IS'!AA18</f>
        <v>706620</v>
      </c>
      <c r="C6" s="4">
        <v>168420</v>
      </c>
      <c r="D6" s="6">
        <f>B6-C6</f>
        <v>538200</v>
      </c>
      <c r="E6" s="6">
        <f>D6-DASH_FEED!E46</f>
        <v>0</v>
      </c>
    </row>
    <row r="7" spans="1:6">
      <c r="A7" s="10" t="s">
        <v>52</v>
      </c>
      <c r="B7" s="5">
        <f>'Monthly IS'!AA19</f>
        <v>600500</v>
      </c>
      <c r="C7" s="4">
        <v>8100</v>
      </c>
      <c r="D7" s="6">
        <f>B7-C7</f>
        <v>592400</v>
      </c>
      <c r="E7" s="6">
        <f>D7-DASH_FEED!E47</f>
        <v>0</v>
      </c>
    </row>
    <row r="8" spans="1:6">
      <c r="A8" s="10" t="s">
        <v>54</v>
      </c>
      <c r="B8" s="5">
        <f>'Monthly IS'!AA20</f>
        <v>174800</v>
      </c>
      <c r="C8" s="4">
        <v>0</v>
      </c>
      <c r="D8" s="6">
        <f>B8-C8</f>
        <v>174800</v>
      </c>
      <c r="E8" s="6">
        <f>D8-DASH_FEED!E48</f>
        <v>0</v>
      </c>
    </row>
    <row r="9" spans="1:6">
      <c r="A9" s="10" t="s">
        <v>116</v>
      </c>
      <c r="B9" s="5">
        <f>'Monthly IS'!AA21</f>
        <v>128850</v>
      </c>
      <c r="C9" s="4">
        <v>-10050</v>
      </c>
      <c r="D9" s="6">
        <f>B9-C9</f>
        <v>138900</v>
      </c>
      <c r="E9" s="6">
        <f>D9-DASH_FEED!E49</f>
        <v>0</v>
      </c>
    </row>
    <row r="10" spans="1:6">
      <c r="A10" s="10" t="s">
        <v>117</v>
      </c>
      <c r="B10" s="5">
        <f>'Monthly IS'!AA22</f>
        <v>125157</v>
      </c>
      <c r="C10" s="4">
        <v>44450</v>
      </c>
      <c r="D10" s="6">
        <f>B10-C10</f>
        <v>80707</v>
      </c>
      <c r="E10" s="6">
        <f>D10-DASH_FEED!E50</f>
        <v>0</v>
      </c>
    </row>
    <row r="11" spans="1:6">
      <c r="A11" s="10" t="s">
        <v>118</v>
      </c>
      <c r="B11" s="5">
        <f>'Monthly IS'!AA23</f>
        <v>58200</v>
      </c>
      <c r="C11" s="4">
        <v>0</v>
      </c>
      <c r="D11" s="6">
        <f>B11-C11</f>
        <v>58200</v>
      </c>
      <c r="E11" s="6">
        <f>D11-DASH_FEED!E51</f>
        <v>0</v>
      </c>
    </row>
    <row r="12" spans="1:6">
      <c r="A12" s="10" t="s">
        <v>62</v>
      </c>
      <c r="B12" s="5">
        <f>'Monthly IS'!AA24</f>
        <v>21400</v>
      </c>
      <c r="C12" s="4">
        <v>0</v>
      </c>
      <c r="D12" s="6">
        <f>B12-C12</f>
        <v>21400</v>
      </c>
      <c r="E12" s="6">
        <f>D12-DASH_FEED!E52</f>
        <v>0</v>
      </c>
    </row>
    <row r="13" spans="1:6">
      <c r="A13" s="2" t="s">
        <v>156</v>
      </c>
      <c r="B13" s="12">
        <f>SUM(B6:B12)</f>
        <v>1815527</v>
      </c>
      <c r="C13" s="12">
        <f>SUM(C6:C12)</f>
        <v>210920</v>
      </c>
      <c r="D13" s="12">
        <f>SUM(D6:D12)</f>
        <v>1604607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3"/>
  <sheetViews>
    <sheetView zoomScaleNormal="100" workbookViewId="0"/>
  </sheetViews>
  <sheetFormatPr defaultColWidth="8.7109375" defaultRowHeight="15"/>
  <cols>
    <col min="1" max="1" width="38" customWidth="1"/>
    <col min="2" max="3" width="15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157</v>
      </c>
    </row>
    <row r="3" spans="1:6">
      <c r="A3" s="16" t="s">
        <v>131</v>
      </c>
    </row>
    <row r="5" spans="1:6">
      <c r="A5" s="9" t="s">
        <v>158</v>
      </c>
      <c r="B5" s="9" t="s">
        <v>5</v>
      </c>
      <c r="C5" s="9" t="s">
        <v>7</v>
      </c>
    </row>
    <row r="6" spans="1:6">
      <c r="A6" t="s">
        <v>159</v>
      </c>
      <c r="B6" s="5">
        <f>'Monthly IS'!Z19</f>
        <v>577668</v>
      </c>
      <c r="C6" s="5">
        <f>'Monthly IS'!AA19</f>
        <v>600500</v>
      </c>
    </row>
    <row r="7" spans="1:6">
      <c r="A7" t="s">
        <v>160</v>
      </c>
      <c r="B7" s="7">
        <f>B6/DASH_FEED!B11</f>
        <v>0.23966464176096267</v>
      </c>
      <c r="C7" s="7">
        <f>C6/DASH_FEED!B12</f>
        <v>0.23972811917022532</v>
      </c>
    </row>
    <row r="8" spans="1:6">
      <c r="A8" t="s">
        <v>161</v>
      </c>
      <c r="B8" s="27">
        <v>18450</v>
      </c>
      <c r="C8" s="27">
        <v>19120</v>
      </c>
    </row>
    <row r="10" spans="1:6">
      <c r="A10" s="2" t="s">
        <v>162</v>
      </c>
    </row>
    <row r="11" spans="1:6">
      <c r="A11" t="s">
        <v>163</v>
      </c>
      <c r="B11" s="5">
        <f>'Monthly IS'!Z18</f>
        <v>679753</v>
      </c>
      <c r="C11" s="5">
        <f>'Monthly IS'!AA18</f>
        <v>706620</v>
      </c>
    </row>
    <row r="12" spans="1:6">
      <c r="A12" t="s">
        <v>164</v>
      </c>
      <c r="C12" s="5">
        <f>DASH_FEED!E46</f>
        <v>538200</v>
      </c>
    </row>
    <row r="13" spans="1:6">
      <c r="A13" t="s">
        <v>165</v>
      </c>
      <c r="C13" s="5">
        <f>0.21*DASH_FEED!B12</f>
        <v>526033.41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F17"/>
  <sheetViews>
    <sheetView zoomScaleNormal="100" workbookViewId="0"/>
  </sheetViews>
  <sheetFormatPr defaultColWidth="8.7109375" defaultRowHeight="15"/>
  <cols>
    <col min="1" max="1" width="12" customWidth="1"/>
    <col min="2" max="3" width="15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166</v>
      </c>
    </row>
    <row r="3" spans="1:6">
      <c r="A3" s="16" t="s">
        <v>131</v>
      </c>
    </row>
    <row r="5" spans="1:6">
      <c r="A5" s="9" t="s">
        <v>167</v>
      </c>
      <c r="B5" s="9" t="s">
        <v>103</v>
      </c>
      <c r="C5" s="9" t="s">
        <v>168</v>
      </c>
    </row>
    <row r="6" spans="1:6">
      <c r="A6" s="10" t="s">
        <v>91</v>
      </c>
      <c r="B6" s="5">
        <f>'Monthly IS'!N9</f>
        <v>202899</v>
      </c>
      <c r="C6" s="22">
        <f>DASH_FEED!B46</f>
        <v>0.74199999999999999</v>
      </c>
    </row>
    <row r="7" spans="1:6">
      <c r="A7" s="10" t="s">
        <v>92</v>
      </c>
      <c r="B7" s="5">
        <f>'Monthly IS'!O9</f>
        <v>212918</v>
      </c>
      <c r="C7" s="22">
        <f>DASH_FEED!B47</f>
        <v>0.71799999999999997</v>
      </c>
    </row>
    <row r="8" spans="1:6">
      <c r="A8" s="10" t="s">
        <v>93</v>
      </c>
      <c r="B8" s="5">
        <f>'Monthly IS'!P9</f>
        <v>207908</v>
      </c>
      <c r="C8" s="22">
        <f>DASH_FEED!B48</f>
        <v>0.73499999999999999</v>
      </c>
    </row>
    <row r="9" spans="1:6">
      <c r="A9" s="10" t="s">
        <v>94</v>
      </c>
      <c r="B9" s="5">
        <f>'Monthly IS'!Q9</f>
        <v>220433</v>
      </c>
      <c r="C9" s="22">
        <f>DASH_FEED!B49</f>
        <v>0.70899999999999996</v>
      </c>
    </row>
    <row r="10" spans="1:6">
      <c r="A10" s="10" t="s">
        <v>95</v>
      </c>
      <c r="B10" s="5">
        <f>'Monthly IS'!R9</f>
        <v>197889</v>
      </c>
      <c r="C10" s="22">
        <f>DASH_FEED!B50</f>
        <v>0.751</v>
      </c>
    </row>
    <row r="11" spans="1:6">
      <c r="A11" s="10" t="s">
        <v>96</v>
      </c>
      <c r="B11" s="5">
        <f>'Monthly IS'!S9</f>
        <v>175344</v>
      </c>
      <c r="C11" s="22">
        <f>DASH_FEED!B51</f>
        <v>0.68799999999999994</v>
      </c>
    </row>
    <row r="12" spans="1:6">
      <c r="A12" s="10" t="s">
        <v>97</v>
      </c>
      <c r="B12" s="5">
        <f>'Monthly IS'!T9</f>
        <v>205404</v>
      </c>
      <c r="C12" s="22">
        <f>DASH_FEED!B52</f>
        <v>0.72599999999999998</v>
      </c>
    </row>
    <row r="13" spans="1:6">
      <c r="A13" s="10" t="s">
        <v>98</v>
      </c>
      <c r="B13" s="5">
        <f>'Monthly IS'!U9</f>
        <v>210413</v>
      </c>
      <c r="C13" s="22">
        <f>DASH_FEED!B53</f>
        <v>0.74399999999999999</v>
      </c>
    </row>
    <row r="14" spans="1:6">
      <c r="A14" s="10" t="s">
        <v>99</v>
      </c>
      <c r="B14" s="5">
        <f>'Monthly IS'!V9</f>
        <v>222938</v>
      </c>
      <c r="C14" s="22">
        <f>DASH_FEED!B54</f>
        <v>0.70099999999999996</v>
      </c>
    </row>
    <row r="15" spans="1:6">
      <c r="A15" s="10" t="s">
        <v>100</v>
      </c>
      <c r="B15" s="5">
        <f>'Monthly IS'!W9</f>
        <v>215423</v>
      </c>
      <c r="C15" s="22">
        <f>DASH_FEED!B55</f>
        <v>0.73299999999999998</v>
      </c>
    </row>
    <row r="16" spans="1:6">
      <c r="A16" s="10" t="s">
        <v>101</v>
      </c>
      <c r="B16" s="5">
        <f>'Monthly IS'!X9</f>
        <v>220433</v>
      </c>
      <c r="C16" s="22">
        <f>DASH_FEED!B56</f>
        <v>0.71699999999999997</v>
      </c>
    </row>
    <row r="17" spans="1:3">
      <c r="A17" s="10" t="s">
        <v>102</v>
      </c>
      <c r="B17" s="5">
        <f>'Monthly IS'!Y9</f>
        <v>212919</v>
      </c>
      <c r="C17" s="22">
        <f>DASH_FEED!B57</f>
        <v>0.74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6"/>
  <sheetViews>
    <sheetView zoomScaleNormal="100" workbookViewId="0"/>
  </sheetViews>
  <sheetFormatPr defaultColWidth="8.7109375" defaultRowHeight="15"/>
  <cols>
    <col min="1" max="1" width="36" customWidth="1"/>
    <col min="2" max="2" width="26" customWidth="1"/>
    <col min="3" max="3" width="14" customWidth="1"/>
    <col min="4" max="4" width="20" customWidth="1"/>
    <col min="5" max="5" width="12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169</v>
      </c>
    </row>
    <row r="3" spans="1:6">
      <c r="A3" s="16" t="s">
        <v>131</v>
      </c>
    </row>
    <row r="5" spans="1:6">
      <c r="A5" s="9" t="s">
        <v>170</v>
      </c>
      <c r="B5" s="9" t="s">
        <v>171</v>
      </c>
      <c r="C5" s="9" t="s">
        <v>172</v>
      </c>
      <c r="D5" s="9" t="s">
        <v>173</v>
      </c>
      <c r="E5" s="9" t="s">
        <v>174</v>
      </c>
    </row>
    <row r="6" spans="1:6">
      <c r="A6" s="3" t="s">
        <v>175</v>
      </c>
      <c r="B6" s="3" t="s">
        <v>176</v>
      </c>
      <c r="C6" s="3" t="s">
        <v>177</v>
      </c>
      <c r="D6" s="4">
        <v>84000</v>
      </c>
      <c r="E6" s="3" t="s">
        <v>178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N10"/>
  <sheetViews>
    <sheetView zoomScaleNormal="100" workbookViewId="0"/>
  </sheetViews>
  <sheetFormatPr defaultColWidth="8.7109375" defaultRowHeight="15"/>
  <cols>
    <col min="1" max="1" width="32" customWidth="1"/>
    <col min="2" max="13" width="11" customWidth="1"/>
  </cols>
  <sheetData>
    <row r="1" spans="1:14" ht="17.45">
      <c r="A1" s="30" t="s">
        <v>75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</row>
    <row r="2" spans="1:14">
      <c r="A2" s="2" t="s">
        <v>179</v>
      </c>
    </row>
    <row r="3" spans="1:14">
      <c r="A3" s="16" t="s">
        <v>131</v>
      </c>
    </row>
    <row r="5" spans="1:14">
      <c r="A5" t="s">
        <v>144</v>
      </c>
      <c r="B5" s="17" t="s">
        <v>91</v>
      </c>
      <c r="C5" s="17" t="s">
        <v>92</v>
      </c>
      <c r="D5" s="17" t="s">
        <v>93</v>
      </c>
      <c r="E5" s="17" t="s">
        <v>94</v>
      </c>
      <c r="F5" s="17" t="s">
        <v>95</v>
      </c>
      <c r="G5" s="17" t="s">
        <v>96</v>
      </c>
      <c r="H5" s="17" t="s">
        <v>97</v>
      </c>
      <c r="I5" s="17" t="s">
        <v>98</v>
      </c>
      <c r="J5" s="17" t="s">
        <v>99</v>
      </c>
      <c r="K5" s="17" t="s">
        <v>100</v>
      </c>
      <c r="L5" s="17" t="s">
        <v>101</v>
      </c>
      <c r="M5" s="17" t="s">
        <v>102</v>
      </c>
    </row>
    <row r="6" spans="1:14">
      <c r="A6" s="10" t="s">
        <v>180</v>
      </c>
      <c r="B6" s="5">
        <f>'Monthly IS'!N9</f>
        <v>202899</v>
      </c>
      <c r="C6" s="5">
        <f>'Monthly IS'!O9</f>
        <v>212918</v>
      </c>
      <c r="D6" s="5">
        <f>'Monthly IS'!P9</f>
        <v>207908</v>
      </c>
      <c r="E6" s="5">
        <f>'Monthly IS'!Q9</f>
        <v>220433</v>
      </c>
      <c r="F6" s="5">
        <f>'Monthly IS'!R9</f>
        <v>197889</v>
      </c>
      <c r="G6" s="5">
        <f>'Monthly IS'!S9</f>
        <v>175344</v>
      </c>
      <c r="H6" s="5">
        <f>'Monthly IS'!T9</f>
        <v>205404</v>
      </c>
      <c r="I6" s="5">
        <f>'Monthly IS'!U9</f>
        <v>210413</v>
      </c>
      <c r="J6" s="5">
        <f>'Monthly IS'!V9</f>
        <v>222938</v>
      </c>
      <c r="K6" s="5">
        <f>'Monthly IS'!W9</f>
        <v>215423</v>
      </c>
      <c r="L6" s="5">
        <f>'Monthly IS'!X9</f>
        <v>220433</v>
      </c>
      <c r="M6" s="5">
        <f>'Monthly IS'!Y9</f>
        <v>212919</v>
      </c>
    </row>
    <row r="7" spans="1:14">
      <c r="A7" s="10" t="s">
        <v>181</v>
      </c>
      <c r="B7" s="5">
        <f>'Monthly IS'!N9</f>
        <v>202899</v>
      </c>
      <c r="C7" s="5">
        <f>'Monthly IS'!O9</f>
        <v>212918</v>
      </c>
      <c r="D7" s="5">
        <f>'Monthly IS'!P9</f>
        <v>207908</v>
      </c>
      <c r="E7" s="5">
        <f>'Monthly IS'!Q9</f>
        <v>220433</v>
      </c>
      <c r="F7" s="5">
        <f>'Monthly IS'!R9</f>
        <v>197889</v>
      </c>
      <c r="G7" s="5">
        <f>'Monthly IS'!S9</f>
        <v>175344</v>
      </c>
      <c r="H7" s="5">
        <f>'Monthly IS'!T9</f>
        <v>205404</v>
      </c>
      <c r="I7" s="5">
        <f>'Monthly IS'!U9</f>
        <v>210413</v>
      </c>
      <c r="J7" s="5">
        <f>'Monthly IS'!V9</f>
        <v>222938</v>
      </c>
      <c r="K7" s="5">
        <f>'Monthly IS'!W9</f>
        <v>215423</v>
      </c>
      <c r="L7" s="5">
        <f>'Monthly IS'!X9</f>
        <v>220433</v>
      </c>
      <c r="M7" s="5">
        <f>'Monthly IS'!Y9</f>
        <v>212919</v>
      </c>
    </row>
    <row r="8" spans="1:14">
      <c r="A8" s="2" t="s">
        <v>182</v>
      </c>
      <c r="B8" s="6">
        <f>B6-B7</f>
        <v>0</v>
      </c>
      <c r="C8" s="6">
        <f>C6-C7</f>
        <v>0</v>
      </c>
      <c r="D8" s="6">
        <f>D6-D7</f>
        <v>0</v>
      </c>
      <c r="E8" s="6">
        <f>E6-E7</f>
        <v>0</v>
      </c>
      <c r="F8" s="6">
        <f>F6-F7</f>
        <v>0</v>
      </c>
      <c r="G8" s="6">
        <f>G6-G7</f>
        <v>0</v>
      </c>
      <c r="H8" s="6">
        <f>H6-H7</f>
        <v>0</v>
      </c>
      <c r="I8" s="6">
        <f>I6-I7</f>
        <v>0</v>
      </c>
      <c r="J8" s="6">
        <f>J6-J7</f>
        <v>0</v>
      </c>
      <c r="K8" s="6">
        <f>K6-K7</f>
        <v>0</v>
      </c>
      <c r="L8" s="6">
        <f>L6-L7</f>
        <v>0</v>
      </c>
      <c r="M8" s="6">
        <f>M6-M7</f>
        <v>0</v>
      </c>
    </row>
    <row r="10" spans="1:14">
      <c r="A10" s="2" t="s">
        <v>183</v>
      </c>
      <c r="B10" s="18">
        <f>SUM(B8:M8)</f>
        <v>0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F10"/>
  <sheetViews>
    <sheetView zoomScaleNormal="100" workbookViewId="0"/>
  </sheetViews>
  <sheetFormatPr defaultColWidth="8.7109375" defaultRowHeight="15"/>
  <cols>
    <col min="1" max="1" width="36" customWidth="1"/>
    <col min="2" max="2" width="16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184</v>
      </c>
    </row>
    <row r="3" spans="1:6">
      <c r="A3" s="16" t="s">
        <v>131</v>
      </c>
    </row>
    <row r="5" spans="1:6">
      <c r="A5" s="9" t="s">
        <v>144</v>
      </c>
      <c r="B5" s="9" t="s">
        <v>185</v>
      </c>
    </row>
    <row r="6" spans="1:6">
      <c r="A6" s="10" t="s">
        <v>186</v>
      </c>
      <c r="B6" s="5">
        <f>'Monthly IS'!AA18+'Monthly IS'!AA19</f>
        <v>1307120</v>
      </c>
    </row>
    <row r="7" spans="1:6">
      <c r="A7" s="10" t="s">
        <v>187</v>
      </c>
      <c r="B7" s="6">
        <f>B6-1500</f>
        <v>1305620</v>
      </c>
    </row>
    <row r="8" spans="1:6">
      <c r="A8" s="2" t="s">
        <v>182</v>
      </c>
      <c r="B8" s="18">
        <f>B6-B7</f>
        <v>1500</v>
      </c>
    </row>
    <row r="10" spans="1:6">
      <c r="A10" s="16" t="s">
        <v>188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F8"/>
  <sheetViews>
    <sheetView zoomScaleNormal="100" workbookViewId="0"/>
  </sheetViews>
  <sheetFormatPr defaultColWidth="8.7109375" defaultRowHeight="15"/>
  <cols>
    <col min="1" max="1" width="30" customWidth="1"/>
    <col min="2" max="4" width="18" customWidth="1"/>
  </cols>
  <sheetData>
    <row r="1" spans="1:6" ht="17.45">
      <c r="A1" s="30" t="s">
        <v>75</v>
      </c>
      <c r="B1" s="30"/>
      <c r="C1" s="30"/>
      <c r="D1" s="30"/>
      <c r="E1" s="30"/>
      <c r="F1" s="30"/>
    </row>
    <row r="2" spans="1:6">
      <c r="A2" s="2" t="s">
        <v>189</v>
      </c>
    </row>
    <row r="3" spans="1:6">
      <c r="A3" s="16" t="s">
        <v>131</v>
      </c>
    </row>
    <row r="5" spans="1:6">
      <c r="A5" s="9" t="s">
        <v>144</v>
      </c>
      <c r="B5" s="9" t="s">
        <v>190</v>
      </c>
      <c r="C5" s="9" t="s">
        <v>191</v>
      </c>
      <c r="D5" s="9" t="s">
        <v>192</v>
      </c>
    </row>
    <row r="6" spans="1:6">
      <c r="A6" s="10" t="s">
        <v>103</v>
      </c>
      <c r="B6" s="4">
        <v>2469500</v>
      </c>
      <c r="C6" s="5">
        <f>DASH_FEED!B12</f>
        <v>2504921</v>
      </c>
    </row>
    <row r="7" spans="1:6">
      <c r="A7" s="10" t="s">
        <v>193</v>
      </c>
      <c r="B7" s="6">
        <f>C6-B6</f>
        <v>35421</v>
      </c>
      <c r="C7" s="4">
        <v>0</v>
      </c>
    </row>
    <row r="8" spans="1:6">
      <c r="A8" s="2" t="s">
        <v>155</v>
      </c>
      <c r="B8" s="18">
        <f>(B6+B7)-C6</f>
        <v>0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898A38"/>
  </sheetPr>
  <dimension ref="A1:B14"/>
  <sheetViews>
    <sheetView zoomScaleNormal="100" workbookViewId="0"/>
  </sheetViews>
  <sheetFormatPr defaultColWidth="8.7109375" defaultRowHeight="15"/>
  <cols>
    <col min="1" max="1" width="12" customWidth="1"/>
    <col min="2" max="2" width="16" customWidth="1"/>
  </cols>
  <sheetData>
    <row r="1" spans="1:2">
      <c r="A1" s="28" t="s">
        <v>194</v>
      </c>
      <c r="B1" s="28"/>
    </row>
    <row r="2" spans="1:2">
      <c r="A2" s="2" t="s">
        <v>167</v>
      </c>
      <c r="B2" s="2" t="s">
        <v>103</v>
      </c>
    </row>
    <row r="3" spans="1:2">
      <c r="A3" s="10" t="s">
        <v>49</v>
      </c>
      <c r="B3" s="5">
        <f>'Monthly IS'!N9</f>
        <v>202899</v>
      </c>
    </row>
    <row r="4" spans="1:2">
      <c r="A4" s="10" t="s">
        <v>51</v>
      </c>
      <c r="B4" s="5">
        <f>'Monthly IS'!O9</f>
        <v>212918</v>
      </c>
    </row>
    <row r="5" spans="1:2">
      <c r="A5" s="10" t="s">
        <v>53</v>
      </c>
      <c r="B5" s="5">
        <f>'Monthly IS'!P9</f>
        <v>207908</v>
      </c>
    </row>
    <row r="6" spans="1:2">
      <c r="A6" s="10" t="s">
        <v>55</v>
      </c>
      <c r="B6" s="5">
        <f>'Monthly IS'!Q9</f>
        <v>220433</v>
      </c>
    </row>
    <row r="7" spans="1:2">
      <c r="A7" s="10" t="s">
        <v>57</v>
      </c>
      <c r="B7" s="5">
        <f>'Monthly IS'!R9</f>
        <v>197889</v>
      </c>
    </row>
    <row r="8" spans="1:2">
      <c r="A8" s="10" t="s">
        <v>59</v>
      </c>
      <c r="B8" s="5">
        <f>'Monthly IS'!S9</f>
        <v>175344</v>
      </c>
    </row>
    <row r="9" spans="1:2">
      <c r="A9" s="10" t="s">
        <v>61</v>
      </c>
      <c r="B9" s="5">
        <f>'Monthly IS'!T9</f>
        <v>205404</v>
      </c>
    </row>
    <row r="10" spans="1:2">
      <c r="A10" s="10" t="s">
        <v>63</v>
      </c>
      <c r="B10" s="5">
        <f>'Monthly IS'!U9</f>
        <v>210413</v>
      </c>
    </row>
    <row r="11" spans="1:2">
      <c r="A11" s="10" t="s">
        <v>65</v>
      </c>
      <c r="B11" s="5">
        <f>'Monthly IS'!V9</f>
        <v>222938</v>
      </c>
    </row>
    <row r="12" spans="1:2">
      <c r="A12" s="10" t="s">
        <v>66</v>
      </c>
      <c r="B12" s="5">
        <f>'Monthly IS'!W9</f>
        <v>215423</v>
      </c>
    </row>
    <row r="13" spans="1:2">
      <c r="A13" s="10" t="s">
        <v>67</v>
      </c>
      <c r="B13" s="5">
        <f>'Monthly IS'!X9</f>
        <v>220433</v>
      </c>
    </row>
    <row r="14" spans="1:2">
      <c r="A14" s="10" t="s">
        <v>68</v>
      </c>
      <c r="B14" s="5">
        <f>'Monthly IS'!Y9</f>
        <v>212919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898A38"/>
  </sheetPr>
  <dimension ref="A1:B5"/>
  <sheetViews>
    <sheetView zoomScaleNormal="100" workbookViewId="0"/>
  </sheetViews>
  <sheetFormatPr defaultColWidth="8.7109375" defaultRowHeight="15"/>
  <cols>
    <col min="1" max="1" width="20" customWidth="1"/>
    <col min="2" max="2" width="14" customWidth="1"/>
  </cols>
  <sheetData>
    <row r="1" spans="1:2">
      <c r="A1" s="28" t="s">
        <v>195</v>
      </c>
      <c r="B1" s="28"/>
    </row>
    <row r="2" spans="1:2">
      <c r="A2" s="2" t="s">
        <v>196</v>
      </c>
      <c r="B2" s="2" t="s">
        <v>182</v>
      </c>
    </row>
    <row r="3" spans="1:2">
      <c r="A3" s="10" t="s">
        <v>197</v>
      </c>
      <c r="B3" s="5">
        <f>'Proof of Cash'!B10</f>
        <v>0</v>
      </c>
    </row>
    <row r="4" spans="1:2">
      <c r="A4" s="10" t="s">
        <v>198</v>
      </c>
      <c r="B4" s="5">
        <f>'Payroll Rec'!B8</f>
        <v>1500</v>
      </c>
    </row>
    <row r="5" spans="1:2">
      <c r="A5" s="10" t="s">
        <v>199</v>
      </c>
      <c r="B5" s="5">
        <f>'Tax Rec'!B8</f>
        <v>0</v>
      </c>
    </row>
  </sheetData>
  <mergeCells count="1">
    <mergeCell ref="A1:B1"/>
  </mergeCells>
  <pageMargins left="0.75" right="0.75" top="1" bottom="1" header="0.511811023622047" footer="0.511811023622047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898A38"/>
  </sheetPr>
  <dimension ref="A1:C11"/>
  <sheetViews>
    <sheetView zoomScaleNormal="100" workbookViewId="0"/>
  </sheetViews>
  <sheetFormatPr defaultColWidth="8.7109375" defaultRowHeight="15"/>
  <cols>
    <col min="1" max="1" width="18" customWidth="1"/>
    <col min="2" max="3" width="14" customWidth="1"/>
  </cols>
  <sheetData>
    <row r="1" spans="1:3">
      <c r="A1" s="28" t="s">
        <v>200</v>
      </c>
      <c r="B1" s="28"/>
      <c r="C1" s="28"/>
    </row>
    <row r="2" spans="1:3">
      <c r="A2" s="2" t="s">
        <v>151</v>
      </c>
      <c r="B2" s="2" t="s">
        <v>201</v>
      </c>
      <c r="C2" s="2" t="s">
        <v>202</v>
      </c>
    </row>
    <row r="3" spans="1:3">
      <c r="A3" s="10" t="s">
        <v>50</v>
      </c>
      <c r="B3" s="22">
        <f>DASH_FEED!E46/DASH_FEED!B12</f>
        <v>0.2148570753329147</v>
      </c>
      <c r="C3" s="15">
        <v>0.25</v>
      </c>
    </row>
    <row r="4" spans="1:3">
      <c r="A4" s="10" t="s">
        <v>52</v>
      </c>
      <c r="B4" s="22">
        <f>DASH_FEED!E47/DASH_FEED!B12</f>
        <v>0.23649448425718816</v>
      </c>
      <c r="C4" s="15">
        <v>0.28499999999999998</v>
      </c>
    </row>
    <row r="5" spans="1:3">
      <c r="A5" s="10" t="s">
        <v>54</v>
      </c>
      <c r="B5" s="22">
        <f>DASH_FEED!E48/DASH_FEED!B12</f>
        <v>6.9782639851715886E-2</v>
      </c>
      <c r="C5" s="15">
        <v>9.1999999999999998E-2</v>
      </c>
    </row>
    <row r="6" spans="1:3">
      <c r="A6" s="10" t="s">
        <v>56</v>
      </c>
      <c r="B6" s="22">
        <f>DASH_FEED!E49/DASH_FEED!B12</f>
        <v>5.5450850545785677E-2</v>
      </c>
      <c r="C6" s="15">
        <v>0.08</v>
      </c>
    </row>
    <row r="7" spans="1:3">
      <c r="A7" s="10" t="s">
        <v>58</v>
      </c>
      <c r="B7" s="22">
        <f>DASH_FEED!E50/DASH_FEED!B12</f>
        <v>3.2219379373640923E-2</v>
      </c>
      <c r="C7" s="15">
        <v>4.4999999999999998E-2</v>
      </c>
    </row>
    <row r="8" spans="1:3">
      <c r="A8" s="10" t="s">
        <v>60</v>
      </c>
      <c r="B8" s="22">
        <f>DASH_FEED!E51/DASH_FEED!B12</f>
        <v>2.3234265671452314E-2</v>
      </c>
      <c r="C8" s="15">
        <v>3.4000000000000002E-2</v>
      </c>
    </row>
    <row r="9" spans="1:3">
      <c r="A9" s="10" t="s">
        <v>62</v>
      </c>
      <c r="B9" s="22">
        <f>DASH_FEED!E52/DASH_FEED!B12</f>
        <v>8.5431835974068646E-3</v>
      </c>
      <c r="C9" s="15">
        <v>0.01</v>
      </c>
    </row>
    <row r="11" spans="1:3">
      <c r="A11" s="32" t="s">
        <v>203</v>
      </c>
      <c r="B11" s="32"/>
      <c r="C11" s="32"/>
    </row>
  </sheetData>
  <mergeCells count="2">
    <mergeCell ref="A1:C1"/>
    <mergeCell ref="A11:C1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Mason Twist</dc:creator>
  <cp:keywords/>
  <dc:description/>
  <cp:lastModifiedBy/>
  <cp:revision>0</cp:revision>
  <dcterms:created xsi:type="dcterms:W3CDTF">2026-07-23T17:37:59Z</dcterms:created>
  <dcterms:modified xsi:type="dcterms:W3CDTF">2026-07-23T17:40:24Z</dcterms:modified>
  <cp:category/>
  <cp:contentStatus/>
</cp:coreProperties>
</file>